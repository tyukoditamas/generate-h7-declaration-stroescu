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rist\Desktop\GenerareXML\"/>
    </mc:Choice>
  </mc:AlternateContent>
  <xr:revisionPtr revIDLastSave="0" documentId="8_{178F5DC0-C89E-4244-9392-B97E90BB5ED7}" xr6:coauthVersionLast="47" xr6:coauthVersionMax="47" xr10:uidLastSave="{00000000-0000-0000-0000-000000000000}"/>
  <bookViews>
    <workbookView xWindow="-98" yWindow="-98" windowWidth="21795" windowHeight="12975" tabRatio="756" xr2:uid="{502347B2-DD26-4B6A-ACC4-6620309B08E2}"/>
  </bookViews>
  <sheets>
    <sheet name="H7" sheetId="1" r:id="rId1"/>
  </sheets>
  <definedNames>
    <definedName name="__Anonymous_Sheet_DB__1">#REF!</definedName>
    <definedName name="__Anonymous_Sheet_DB__1_1">'H7'!$A$1:$AL$59741</definedName>
    <definedName name="__Anonymous_Sheet_DB__1_10">'H7'!$A$2:$AR$3</definedName>
    <definedName name="__Anonymous_Sheet_DB__1_100">'H7'!$A$1:$AQ$3</definedName>
    <definedName name="__Anonymous_Sheet_DB__1_101">'H7'!$A$2:$AV$3</definedName>
    <definedName name="__Anonymous_Sheet_DB__1_102">'H7'!$A$2:$AV$3</definedName>
    <definedName name="__Anonymous_Sheet_DB__1_103">'H7'!$A$2:$AV$3</definedName>
    <definedName name="__Anonymous_Sheet_DB__1_104">#REF!</definedName>
    <definedName name="__Anonymous_Sheet_DB__1_105">'H7'!$A$2:$AV$3</definedName>
    <definedName name="__Anonymous_Sheet_DB__1_106">'H7'!$A$2:$AV$3</definedName>
    <definedName name="__Anonymous_Sheet_DB__1_107">'H7'!$A$2:$AV$3</definedName>
    <definedName name="__Anonymous_Sheet_DB__1_108">#REF!</definedName>
    <definedName name="__Anonymous_Sheet_DB__1_109">'H7'!$A$2:$AV$3</definedName>
    <definedName name="__Anonymous_Sheet_DB__1_11">'H7'!$A$2:$AS$3</definedName>
    <definedName name="__Anonymous_Sheet_DB__1_110">'H7'!$A$2:$AV$3</definedName>
    <definedName name="__Anonymous_Sheet_DB__1_111">'H7'!$A$2:$AV$3</definedName>
    <definedName name="__Anonymous_Sheet_DB__1_112">#REF!</definedName>
    <definedName name="__Anonymous_Sheet_DB__1_113">'H7'!$A$1:$AQ$3</definedName>
    <definedName name="__Anonymous_Sheet_DB__1_114">'H7'!$A$1:$AQ$3</definedName>
    <definedName name="__Anonymous_Sheet_DB__1_115">#REF!</definedName>
    <definedName name="__Anonymous_Sheet_DB__1_116">'H7'!$A$2:$AV$3</definedName>
    <definedName name="__Anonymous_Sheet_DB__1_117">#REF!</definedName>
    <definedName name="__Anonymous_Sheet_DB__1_118">'H7'!$A$2:$AV$3</definedName>
    <definedName name="__Anonymous_Sheet_DB__1_12">#REF!</definedName>
    <definedName name="__Anonymous_Sheet_DB__1_13">#REF!</definedName>
    <definedName name="__Anonymous_Sheet_DB__1_14">'H7'!$A$2:$AS$3</definedName>
    <definedName name="__Anonymous_Sheet_DB__1_15">#REF!</definedName>
    <definedName name="__Anonymous_Sheet_DB__1_16">'H7'!$A$2:$AS$3</definedName>
    <definedName name="__Anonymous_Sheet_DB__1_17">'H7'!$A$2:$AS$3</definedName>
    <definedName name="__Anonymous_Sheet_DB__1_18">'H7'!$A$2:$AS$3</definedName>
    <definedName name="__Anonymous_Sheet_DB__1_19">#REF!</definedName>
    <definedName name="__Anonymous_Sheet_DB__1_2">'H7'!$AR$1:$AS$3</definedName>
    <definedName name="__Anonymous_Sheet_DB__1_20">#REF!</definedName>
    <definedName name="__Anonymous_Sheet_DB__1_21">#REF!</definedName>
    <definedName name="__Anonymous_Sheet_DB__1_22">#REF!</definedName>
    <definedName name="__Anonymous_Sheet_DB__1_23">'H7'!$A$1:$AS$3</definedName>
    <definedName name="__Anonymous_Sheet_DB__1_24">'H7'!$A$2:$AU$3</definedName>
    <definedName name="__Anonymous_Sheet_DB__1_25">'H7'!$A$2:$AS$3</definedName>
    <definedName name="__Anonymous_Sheet_DB__1_26">#REF!</definedName>
    <definedName name="__Anonymous_Sheet_DB__1_27">#REF!</definedName>
    <definedName name="__Anonymous_Sheet_DB__1_28">'H7'!$A$2:$AS$3</definedName>
    <definedName name="__Anonymous_Sheet_DB__1_29">'H7'!$A$2:$AS$3</definedName>
    <definedName name="__Anonymous_Sheet_DB__1_3">'H7'!$F$1:$AR$3</definedName>
    <definedName name="__Anonymous_Sheet_DB__1_30">'H7'!$A$2:$AS$3</definedName>
    <definedName name="__Anonymous_Sheet_DB__1_31">#REF!</definedName>
    <definedName name="__Anonymous_Sheet_DB__1_32">'H7'!$A$2:$AS$3</definedName>
    <definedName name="__Anonymous_Sheet_DB__1_33">'H7'!$A$2:$AV$3</definedName>
    <definedName name="__Anonymous_Sheet_DB__1_34">#REF!</definedName>
    <definedName name="__Anonymous_Sheet_DB__1_35">#REF!</definedName>
    <definedName name="__Anonymous_Sheet_DB__1_36">#REF!</definedName>
    <definedName name="__Anonymous_Sheet_DB__1_37">#REF!</definedName>
    <definedName name="__Anonymous_Sheet_DB__1_38">'H7'!$A$2:$AS$3</definedName>
    <definedName name="__Anonymous_Sheet_DB__1_39">'H7'!$A$2:$AS$3</definedName>
    <definedName name="__Anonymous_Sheet_DB__1_4">'H7'!$A$2:$AL$3</definedName>
    <definedName name="__Anonymous_Sheet_DB__1_40">'H7'!$A$2:$AS$3</definedName>
    <definedName name="__Anonymous_Sheet_DB__1_41">#REF!</definedName>
    <definedName name="__Anonymous_Sheet_DB__1_42">'H7'!$A$2:$AS$3</definedName>
    <definedName name="__Anonymous_Sheet_DB__1_43">'H7'!$A$2:$AS$3</definedName>
    <definedName name="__Anonymous_Sheet_DB__1_44">'H7'!$A$2:$AS$3</definedName>
    <definedName name="__Anonymous_Sheet_DB__1_45">'H7'!$A$2:$AS$3</definedName>
    <definedName name="__Anonymous_Sheet_DB__1_46">'H7'!$A$2:$AS$3</definedName>
    <definedName name="__Anonymous_Sheet_DB__1_47">'H7'!$A$2:$AS$3</definedName>
    <definedName name="__Anonymous_Sheet_DB__1_48">'H7'!$A$2:$AS$3</definedName>
    <definedName name="__Anonymous_Sheet_DB__1_49">'H7'!$A$2:$AS$3</definedName>
    <definedName name="__Anonymous_Sheet_DB__1_5">#REF!</definedName>
    <definedName name="__Anonymous_Sheet_DB__1_50">'H7'!$A$2:$AS$3</definedName>
    <definedName name="__Anonymous_Sheet_DB__1_51">#REF!</definedName>
    <definedName name="__Anonymous_Sheet_DB__1_52">'H7'!$A$2:$AS$3</definedName>
    <definedName name="__Anonymous_Sheet_DB__1_53">'H7'!$F$1:$AQ$3</definedName>
    <definedName name="__Anonymous_Sheet_DB__1_54">'H7'!$A$2:$AS$3</definedName>
    <definedName name="__Anonymous_Sheet_DB__1_55">#REF!</definedName>
    <definedName name="__Anonymous_Sheet_DB__1_56">'H7'!$A$2:$AS$3</definedName>
    <definedName name="__Anonymous_Sheet_DB__1_57">#REF!</definedName>
    <definedName name="__Anonymous_Sheet_DB__1_58">'H7'!$A$2:$AS$3</definedName>
    <definedName name="__Anonymous_Sheet_DB__1_59">'H7'!$A$2:$AS$3</definedName>
    <definedName name="__Anonymous_Sheet_DB__1_6">#REF!</definedName>
    <definedName name="__Anonymous_Sheet_DB__1_60">'H7'!$A$2:$AS$3</definedName>
    <definedName name="__Anonymous_Sheet_DB__1_61">#REF!</definedName>
    <definedName name="__Anonymous_Sheet_DB__1_62">'H7'!$A$2:$AS$3</definedName>
    <definedName name="__Anonymous_Sheet_DB__1_63">'H7'!$A$2:$AS$3</definedName>
    <definedName name="__Anonymous_Sheet_DB__1_64">'H7'!$A$2:$AS$3</definedName>
    <definedName name="__Anonymous_Sheet_DB__1_65">#REF!</definedName>
    <definedName name="__Anonymous_Sheet_DB__1_66">#REF!</definedName>
    <definedName name="__Anonymous_Sheet_DB__1_67">'H7'!$A$2:$AV$3</definedName>
    <definedName name="__Anonymous_Sheet_DB__1_68">'H7'!$A$2:$AV$3</definedName>
    <definedName name="__Anonymous_Sheet_DB__1_69">'H7'!$A$2:$AV$3</definedName>
    <definedName name="__Anonymous_Sheet_DB__1_7">'H7'!$A$1:$AS$3</definedName>
    <definedName name="__Anonymous_Sheet_DB__1_70">'H7'!$A$2:$AV$3</definedName>
    <definedName name="__Anonymous_Sheet_DB__1_71">'H7'!$A$2:$AV$3</definedName>
    <definedName name="__Anonymous_Sheet_DB__1_72">#REF!</definedName>
    <definedName name="__Anonymous_Sheet_DB__1_73">'H7'!$A$2:$AV$3</definedName>
    <definedName name="__Anonymous_Sheet_DB__1_74">'H7'!$A$2:$AV$3</definedName>
    <definedName name="__Anonymous_Sheet_DB__1_75">'H7'!$A$2:$AV$3</definedName>
    <definedName name="__Anonymous_Sheet_DB__1_76">'H7'!$A$2:$AV$3</definedName>
    <definedName name="__Anonymous_Sheet_DB__1_77">#REF!</definedName>
    <definedName name="__Anonymous_Sheet_DB__1_78">'H7'!$A$2:$AV$3</definedName>
    <definedName name="__Anonymous_Sheet_DB__1_79">'H7'!$A$2:$AV$3</definedName>
    <definedName name="__Anonymous_Sheet_DB__1_8">#REF!</definedName>
    <definedName name="__Anonymous_Sheet_DB__1_80">#REF!</definedName>
    <definedName name="__Anonymous_Sheet_DB__1_81">'H7'!$A$2:$AV$3</definedName>
    <definedName name="__Anonymous_Sheet_DB__1_82">'H7'!$A$2:$AV$3</definedName>
    <definedName name="__Anonymous_Sheet_DB__1_83">#REF!</definedName>
    <definedName name="__Anonymous_Sheet_DB__1_84">#REF!</definedName>
    <definedName name="__Anonymous_Sheet_DB__1_85">#REF!</definedName>
    <definedName name="__Anonymous_Sheet_DB__1_86">'H7'!$A$2:$AV$3</definedName>
    <definedName name="__Anonymous_Sheet_DB__1_87">'H7'!$A$2:$AV$3</definedName>
    <definedName name="__Anonymous_Sheet_DB__1_88">'H7'!$A$2:$AV$3</definedName>
    <definedName name="__Anonymous_Sheet_DB__1_89">#REF!</definedName>
    <definedName name="__Anonymous_Sheet_DB__1_9">'H7'!$F$1:$AQ$3</definedName>
    <definedName name="__Anonymous_Sheet_DB__1_90">'H7'!$A$2:$AV$3</definedName>
    <definedName name="__Anonymous_Sheet_DB__1_91">'H7'!$A$2:$AV$3</definedName>
    <definedName name="__Anonymous_Sheet_DB__1_92">#REF!</definedName>
    <definedName name="__Anonymous_Sheet_DB__1_93">'H7'!$A$2:$AV$3</definedName>
    <definedName name="__Anonymous_Sheet_DB__1_94">#REF!</definedName>
    <definedName name="__Anonymous_Sheet_DB__1_95">'H7'!$A$2:$AV$3</definedName>
    <definedName name="__Anonymous_Sheet_DB__1_96">#REF!</definedName>
    <definedName name="__Anonymous_Sheet_DB__1_97">'H7'!$A$2:$AV$3</definedName>
    <definedName name="__Anonymous_Sheet_DB__1_98">'H7'!$A$2:$AV$3</definedName>
    <definedName name="__Anonymous_Sheet_DB__1_99">#REF!</definedName>
    <definedName name="__Anonymous_Sheet_DB__2">'H7'!$A$2:$AL$3</definedName>
    <definedName name="__Anonymous_Sheet_DB__2_1">#REF!</definedName>
    <definedName name="__Anonymous_Sheet_DB__2_10">'H7'!$A$2:$AS$3</definedName>
    <definedName name="__Anonymous_Sheet_DB__2_11">#REF!</definedName>
    <definedName name="__Anonymous_Sheet_DB__2_12">#REF!</definedName>
    <definedName name="__Anonymous_Sheet_DB__2_13">#REF!</definedName>
    <definedName name="__Anonymous_Sheet_DB__2_14">#REF!</definedName>
    <definedName name="__Anonymous_Sheet_DB__2_15">#REF!</definedName>
    <definedName name="__Anonymous_Sheet_DB__2_16">#REF!</definedName>
    <definedName name="__Anonymous_Sheet_DB__2_17">#REF!</definedName>
    <definedName name="__Anonymous_Sheet_DB__2_18">#REF!</definedName>
    <definedName name="__Anonymous_Sheet_DB__2_19">'H7'!$A$2:$AV$3</definedName>
    <definedName name="__Anonymous_Sheet_DB__2_2">#REF!</definedName>
    <definedName name="__Anonymous_Sheet_DB__2_20">#REF!</definedName>
    <definedName name="__Anonymous_Sheet_DB__2_21">#REF!</definedName>
    <definedName name="__Anonymous_Sheet_DB__2_22">'H7'!$A$2:$AV$3</definedName>
    <definedName name="__Anonymous_Sheet_DB__2_23">'H7'!$A$2:$AV$3</definedName>
    <definedName name="__Anonymous_Sheet_DB__2_24">'H7'!$A$1:$AQ$3</definedName>
    <definedName name="__Anonymous_Sheet_DB__2_25">#REF!</definedName>
    <definedName name="__Anonymous_Sheet_DB__2_26">'H7'!$A$2:$AV$3</definedName>
    <definedName name="__Anonymous_Sheet_DB__2_27">#REF!</definedName>
    <definedName name="__Anonymous_Sheet_DB__2_28">#REF!</definedName>
    <definedName name="__Anonymous_Sheet_DB__2_29">#REF!</definedName>
    <definedName name="__Anonymous_Sheet_DB__2_3">#REF!</definedName>
    <definedName name="__Anonymous_Sheet_DB__2_4">#REF!</definedName>
    <definedName name="__Anonymous_Sheet_DB__2_5">#REF!</definedName>
    <definedName name="__Anonymous_Sheet_DB__2_6">#REF!</definedName>
    <definedName name="__Anonymous_Sheet_DB__2_7">#REF!</definedName>
    <definedName name="__Anonymous_Sheet_DB__2_8">'H7'!$A$2:$AS$3</definedName>
    <definedName name="__Anonymous_Sheet_DB__2_9">#REF!</definedName>
    <definedName name="__Anonymous_Sheet_DB__3">#REF!</definedName>
    <definedName name="__Anonymous_Sheet_DB__3_1">#REF!</definedName>
    <definedName name="__Anonymous_Sheet_DB__3_2">#REF!</definedName>
    <definedName name="__Anonymous_Sheet_DB__4">#REF!</definedName>
    <definedName name="Excel_BuiltIn__FilterDatabase" localSheetId="0">'H7'!$A$2:$AV$3</definedName>
    <definedName name="Excel_BuiltIn__FilterDatabase_1">'H7'!$A$2:$AL$3</definedName>
    <definedName name="Excel_BuiltIn__FilterDatabase_2">'H7'!$F$1:$AR$3</definedName>
    <definedName name="Excel_BuiltIn__FilterDatabase_3">'H7'!$A$2:$AL$3</definedName>
    <definedName name="Excel_BuiltIn__FilterDatabase_4">'H7'!$F$1:$AQ$3</definedName>
    <definedName name="Excel_BuiltIn__FilterDatabase_5">'H7'!$A$2:$AS$3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99" i="1" l="1"/>
  <c r="AD69" i="1"/>
  <c r="AE69" i="1" s="1"/>
  <c r="AD70" i="1"/>
  <c r="AE70" i="1" s="1"/>
  <c r="AD71" i="1"/>
  <c r="AE71" i="1" s="1"/>
  <c r="AD72" i="1"/>
  <c r="AE72" i="1" s="1"/>
  <c r="AD73" i="1"/>
  <c r="AE73" i="1" s="1"/>
  <c r="AD74" i="1"/>
  <c r="AE74" i="1" s="1"/>
  <c r="AD75" i="1"/>
  <c r="AE75" i="1" s="1"/>
  <c r="AD76" i="1"/>
  <c r="AE76" i="1" s="1"/>
  <c r="AD77" i="1"/>
  <c r="AE77" i="1" s="1"/>
  <c r="AD78" i="1"/>
  <c r="AE78" i="1" s="1"/>
  <c r="AD79" i="1"/>
  <c r="AE79" i="1" s="1"/>
  <c r="AD80" i="1"/>
  <c r="AE80" i="1" s="1"/>
  <c r="AD81" i="1"/>
  <c r="AE81" i="1" s="1"/>
  <c r="AD82" i="1"/>
  <c r="AE82" i="1" s="1"/>
  <c r="AD83" i="1"/>
  <c r="AE83" i="1" s="1"/>
  <c r="AD84" i="1"/>
  <c r="AE84" i="1" s="1"/>
  <c r="AD85" i="1"/>
  <c r="AE85" i="1" s="1"/>
  <c r="AD86" i="1"/>
  <c r="AE86" i="1" s="1"/>
  <c r="AD87" i="1"/>
  <c r="AE87" i="1" s="1"/>
  <c r="AD88" i="1"/>
  <c r="AE88" i="1" s="1"/>
  <c r="AD89" i="1"/>
  <c r="AE89" i="1" s="1"/>
  <c r="AD90" i="1"/>
  <c r="AE90" i="1" s="1"/>
  <c r="AD91" i="1"/>
  <c r="AE91" i="1" s="1"/>
  <c r="AD92" i="1"/>
  <c r="AE92" i="1" s="1"/>
  <c r="AD93" i="1"/>
  <c r="AE93" i="1" s="1"/>
  <c r="AD94" i="1"/>
  <c r="AE94" i="1" s="1"/>
  <c r="AD95" i="1"/>
  <c r="AE95" i="1" s="1"/>
  <c r="AD96" i="1"/>
  <c r="AE96" i="1" s="1"/>
  <c r="AD97" i="1"/>
  <c r="AE97" i="1" s="1"/>
  <c r="AD98" i="1"/>
  <c r="AE98" i="1" s="1"/>
  <c r="AD99" i="1"/>
  <c r="AD100" i="1"/>
  <c r="AE100" i="1" s="1"/>
  <c r="AD101" i="1"/>
  <c r="AE101" i="1" s="1"/>
  <c r="AD102" i="1"/>
  <c r="AE102" i="1" s="1"/>
  <c r="AD103" i="1"/>
  <c r="AE103" i="1" s="1"/>
  <c r="AD104" i="1"/>
  <c r="AE104" i="1" s="1"/>
  <c r="AD105" i="1"/>
  <c r="AE105" i="1" s="1"/>
  <c r="AD106" i="1"/>
  <c r="AE106" i="1" s="1"/>
  <c r="AD107" i="1"/>
  <c r="AE107" i="1" s="1"/>
  <c r="AD108" i="1"/>
  <c r="AE108" i="1" s="1"/>
  <c r="AD109" i="1"/>
  <c r="AE109" i="1" s="1"/>
  <c r="AD110" i="1"/>
  <c r="AE110" i="1" s="1"/>
  <c r="AD111" i="1"/>
  <c r="AE111" i="1" s="1"/>
  <c r="AD112" i="1"/>
  <c r="AE112" i="1" s="1"/>
  <c r="AD113" i="1"/>
  <c r="AE113" i="1" s="1"/>
  <c r="AD114" i="1"/>
  <c r="AE114" i="1" s="1"/>
  <c r="AD115" i="1"/>
  <c r="AE115" i="1" s="1"/>
  <c r="AD116" i="1"/>
  <c r="AE116" i="1" s="1"/>
  <c r="AD4" i="1"/>
  <c r="AE4" i="1" s="1"/>
  <c r="AD5" i="1"/>
  <c r="AE5" i="1" s="1"/>
  <c r="AD6" i="1"/>
  <c r="AE6" i="1" s="1"/>
  <c r="AD7" i="1"/>
  <c r="AE7" i="1" s="1"/>
  <c r="AD8" i="1"/>
  <c r="AE8" i="1" s="1"/>
  <c r="AD9" i="1"/>
  <c r="AE9" i="1" s="1"/>
  <c r="AD10" i="1"/>
  <c r="AE10" i="1" s="1"/>
  <c r="AD11" i="1"/>
  <c r="AE11" i="1" s="1"/>
  <c r="AD12" i="1"/>
  <c r="AE12" i="1" s="1"/>
  <c r="AD13" i="1"/>
  <c r="AE13" i="1" s="1"/>
  <c r="AD14" i="1"/>
  <c r="AE14" i="1" s="1"/>
  <c r="AD15" i="1"/>
  <c r="AE15" i="1" s="1"/>
  <c r="AD16" i="1"/>
  <c r="AE16" i="1" s="1"/>
  <c r="AD17" i="1"/>
  <c r="AE17" i="1" s="1"/>
  <c r="AD18" i="1"/>
  <c r="AE18" i="1" s="1"/>
  <c r="AD19" i="1"/>
  <c r="AE19" i="1" s="1"/>
  <c r="AD20" i="1"/>
  <c r="AE20" i="1" s="1"/>
  <c r="AD21" i="1"/>
  <c r="AE21" i="1" s="1"/>
  <c r="AD22" i="1"/>
  <c r="AE22" i="1" s="1"/>
  <c r="AD23" i="1"/>
  <c r="AE23" i="1" s="1"/>
  <c r="AD24" i="1"/>
  <c r="AE24" i="1" s="1"/>
  <c r="AD25" i="1"/>
  <c r="AE25" i="1" s="1"/>
  <c r="AD26" i="1"/>
  <c r="AE26" i="1" s="1"/>
  <c r="AD27" i="1"/>
  <c r="AE27" i="1" s="1"/>
  <c r="AD28" i="1"/>
  <c r="AE28" i="1" s="1"/>
  <c r="AD29" i="1"/>
  <c r="AE29" i="1" s="1"/>
  <c r="AD30" i="1"/>
  <c r="AE30" i="1" s="1"/>
  <c r="AD31" i="1"/>
  <c r="AE31" i="1" s="1"/>
  <c r="AD32" i="1"/>
  <c r="AE32" i="1" s="1"/>
  <c r="AD33" i="1"/>
  <c r="AE33" i="1" s="1"/>
  <c r="AD34" i="1"/>
  <c r="AE34" i="1" s="1"/>
  <c r="AD35" i="1"/>
  <c r="AE35" i="1" s="1"/>
  <c r="AD36" i="1"/>
  <c r="AE36" i="1" s="1"/>
  <c r="AD37" i="1"/>
  <c r="AE37" i="1" s="1"/>
  <c r="AD38" i="1"/>
  <c r="AE38" i="1" s="1"/>
  <c r="AD39" i="1"/>
  <c r="AE39" i="1" s="1"/>
  <c r="AD40" i="1"/>
  <c r="AE40" i="1" s="1"/>
  <c r="AD41" i="1"/>
  <c r="AE41" i="1" s="1"/>
  <c r="AD42" i="1"/>
  <c r="AE42" i="1" s="1"/>
  <c r="AD43" i="1"/>
  <c r="AE43" i="1" s="1"/>
  <c r="AD44" i="1"/>
  <c r="AE44" i="1" s="1"/>
  <c r="AD45" i="1"/>
  <c r="AE45" i="1" s="1"/>
  <c r="AD46" i="1"/>
  <c r="AE46" i="1" s="1"/>
  <c r="AD47" i="1"/>
  <c r="AE47" i="1" s="1"/>
  <c r="AD48" i="1"/>
  <c r="AE48" i="1" s="1"/>
  <c r="AD49" i="1"/>
  <c r="AE49" i="1" s="1"/>
  <c r="AD50" i="1"/>
  <c r="AE50" i="1" s="1"/>
  <c r="AD51" i="1"/>
  <c r="AE51" i="1" s="1"/>
  <c r="AD52" i="1"/>
  <c r="AE52" i="1" s="1"/>
  <c r="AD53" i="1"/>
  <c r="AE53" i="1" s="1"/>
  <c r="AD54" i="1"/>
  <c r="AE54" i="1" s="1"/>
  <c r="AD55" i="1"/>
  <c r="AE55" i="1" s="1"/>
  <c r="AD56" i="1"/>
  <c r="AE56" i="1" s="1"/>
  <c r="AD57" i="1"/>
  <c r="AE57" i="1" s="1"/>
  <c r="AD58" i="1"/>
  <c r="AE58" i="1" s="1"/>
  <c r="AD59" i="1"/>
  <c r="AE59" i="1" s="1"/>
  <c r="AD60" i="1"/>
  <c r="AE60" i="1" s="1"/>
  <c r="AD61" i="1"/>
  <c r="AE61" i="1" s="1"/>
  <c r="AD62" i="1"/>
  <c r="AE62" i="1" s="1"/>
  <c r="AD63" i="1"/>
  <c r="AE63" i="1" s="1"/>
  <c r="AD64" i="1"/>
  <c r="AE64" i="1" s="1"/>
  <c r="AD65" i="1"/>
  <c r="AE65" i="1" s="1"/>
  <c r="AD66" i="1"/>
  <c r="AE66" i="1" s="1"/>
  <c r="AD67" i="1"/>
  <c r="AE67" i="1" s="1"/>
  <c r="AD68" i="1"/>
  <c r="AE68" i="1" s="1"/>
  <c r="AD3" i="1"/>
  <c r="AE3" i="1" s="1"/>
  <c r="X2" i="1"/>
  <c r="AI2" i="1"/>
  <c r="AV3" i="1"/>
  <c r="AV4" i="1"/>
  <c r="AV5" i="1"/>
</calcChain>
</file>

<file path=xl/sharedStrings.xml><?xml version="1.0" encoding="utf-8"?>
<sst xmlns="http://schemas.openxmlformats.org/spreadsheetml/2006/main" count="2698" uniqueCount="824">
  <si>
    <t xml:space="preserve">Mrn </t>
  </si>
  <si>
    <t>IMPORTATOR  13 04 000 000</t>
  </si>
  <si>
    <t>DECLARANT</t>
  </si>
  <si>
    <t>REPREZENTANT</t>
  </si>
  <si>
    <t xml:space="preserve">EXPORTATOR </t>
  </si>
  <si>
    <t>TIP LOCATIE</t>
  </si>
  <si>
    <t>CALIFICATIV INDENTIFICARII</t>
  </si>
  <si>
    <t>BIROU VAMAL</t>
  </si>
  <si>
    <t>REFERINTA FISCALA SUPLIMENTARE</t>
  </si>
  <si>
    <t>documente justificative</t>
  </si>
  <si>
    <t>REFERINTA DOCUMENT</t>
  </si>
  <si>
    <t>DATA</t>
  </si>
  <si>
    <t>COD SISTEM ARMONIZAT</t>
  </si>
  <si>
    <t>KG MASA BRUTA CU PUNCT NU VIRGULA</t>
  </si>
  <si>
    <t>CUANTUM</t>
  </si>
  <si>
    <t>MONEDA</t>
  </si>
  <si>
    <t>REGIM SUPLIMENTAR</t>
  </si>
  <si>
    <t>DE PLATA</t>
  </si>
  <si>
    <t>descriere marfuri</t>
  </si>
  <si>
    <t>NR COLETE</t>
  </si>
  <si>
    <t>PLATA ANTICPATA</t>
  </si>
  <si>
    <t>VALOARE AIN RON</t>
  </si>
  <si>
    <t>TVA</t>
  </si>
  <si>
    <t>curs usd</t>
  </si>
  <si>
    <t>COD COLET</t>
  </si>
  <si>
    <t>NR TR</t>
  </si>
  <si>
    <t>NR H7</t>
  </si>
  <si>
    <t>T1</t>
  </si>
  <si>
    <t>nume importator</t>
  </si>
  <si>
    <t>Adresa</t>
  </si>
  <si>
    <t>Localitate</t>
  </si>
  <si>
    <t xml:space="preserve"> Cod postal</t>
  </si>
  <si>
    <t>tara</t>
  </si>
  <si>
    <t>RO29631670</t>
  </si>
  <si>
    <t>nume</t>
  </si>
  <si>
    <t>16 15 045 000</t>
  </si>
  <si>
    <t>16 15 0469 000</t>
  </si>
  <si>
    <t>16 15 047 000</t>
  </si>
  <si>
    <t>13 16 000 000</t>
  </si>
  <si>
    <t>12 03 000 000</t>
  </si>
  <si>
    <t>HLXU-857230-2</t>
  </si>
  <si>
    <t>18 09 056 000</t>
  </si>
  <si>
    <t>18 04 000 000</t>
  </si>
  <si>
    <t>11 10 000 000</t>
  </si>
  <si>
    <t>18 05 000 000</t>
  </si>
  <si>
    <t>12 01 004 000</t>
  </si>
  <si>
    <t>PAROLA DEPOZIT</t>
  </si>
  <si>
    <t>DEPOZIT</t>
  </si>
  <si>
    <t>JUDET</t>
  </si>
  <si>
    <t>Optim</t>
  </si>
  <si>
    <t>g</t>
  </si>
  <si>
    <t>verif plata</t>
  </si>
  <si>
    <t>AA</t>
  </si>
  <si>
    <t>AA1</t>
  </si>
  <si>
    <t>Ro</t>
  </si>
  <si>
    <t>B</t>
  </si>
  <si>
    <t>V</t>
  </si>
  <si>
    <t>ROTM0200</t>
  </si>
  <si>
    <t>FR1</t>
  </si>
  <si>
    <t>N271</t>
  </si>
  <si>
    <t>AZ9959 Tr.205 HLXU-857230-2 HLXU-857230-2</t>
  </si>
  <si>
    <t>Bucuresti</t>
  </si>
  <si>
    <t>CARGUS</t>
  </si>
  <si>
    <t>Sector 3 Str Mizil Nr 4 Bl G11 Sc D</t>
  </si>
  <si>
    <t>AA2</t>
  </si>
  <si>
    <t>AZ9960 Tr.205 HLXU-857230-2 HLXU-857230-2</t>
  </si>
  <si>
    <t>Arad</t>
  </si>
  <si>
    <t>AR</t>
  </si>
  <si>
    <t>Str Lipovei Nr 30 A</t>
  </si>
  <si>
    <t>AA3</t>
  </si>
  <si>
    <t>Str Piatra Craiului  Nr 3</t>
  </si>
  <si>
    <t>AZ9961 Tr.205 HLXU-857230-2 HLXU-857230-2</t>
  </si>
  <si>
    <t>Timis</t>
  </si>
  <si>
    <t>TM</t>
  </si>
  <si>
    <t>RR717</t>
  </si>
  <si>
    <t>RR628</t>
  </si>
  <si>
    <t>RR758</t>
  </si>
  <si>
    <t>RR724</t>
  </si>
  <si>
    <t>RG9</t>
  </si>
  <si>
    <t>RR715</t>
  </si>
  <si>
    <t>RR760</t>
  </si>
  <si>
    <t>RD14</t>
  </si>
  <si>
    <t>RR756</t>
  </si>
  <si>
    <t>RG26</t>
  </si>
  <si>
    <t>RC4</t>
  </si>
  <si>
    <t>RR776</t>
  </si>
  <si>
    <t>RR629</t>
  </si>
  <si>
    <t>RC54</t>
  </si>
  <si>
    <t>RR769</t>
  </si>
  <si>
    <t>RR752</t>
  </si>
  <si>
    <t>RD13</t>
  </si>
  <si>
    <t>RD12</t>
  </si>
  <si>
    <t>RC2</t>
  </si>
  <si>
    <t>RR700</t>
  </si>
  <si>
    <t>RR605</t>
  </si>
  <si>
    <t>RR719</t>
  </si>
  <si>
    <t>RG 1</t>
  </si>
  <si>
    <t>RC3</t>
  </si>
  <si>
    <t>RR626</t>
  </si>
  <si>
    <t>RD10</t>
  </si>
  <si>
    <t>RR621</t>
  </si>
  <si>
    <t>RR613</t>
  </si>
  <si>
    <t>RR774</t>
  </si>
  <si>
    <t>RG15</t>
  </si>
  <si>
    <t>RR604</t>
  </si>
  <si>
    <t>RC20</t>
  </si>
  <si>
    <t>RC15</t>
  </si>
  <si>
    <t>RD7</t>
  </si>
  <si>
    <t>RC57</t>
  </si>
  <si>
    <t>RC61</t>
  </si>
  <si>
    <t>RD9</t>
  </si>
  <si>
    <t>RG17</t>
  </si>
  <si>
    <t>RR705</t>
  </si>
  <si>
    <t>RC19</t>
  </si>
  <si>
    <t>RR759</t>
  </si>
  <si>
    <t>RR623</t>
  </si>
  <si>
    <t>RR610</t>
  </si>
  <si>
    <t>RD25</t>
  </si>
  <si>
    <t>RC5</t>
  </si>
  <si>
    <t>RD17</t>
  </si>
  <si>
    <t>RG5</t>
  </si>
  <si>
    <t>RG7</t>
  </si>
  <si>
    <t>RC52</t>
  </si>
  <si>
    <t>RC53</t>
  </si>
  <si>
    <t>RR637</t>
  </si>
  <si>
    <t>RD8</t>
  </si>
  <si>
    <t>RR768</t>
  </si>
  <si>
    <t>RC51</t>
  </si>
  <si>
    <t>RD4</t>
  </si>
  <si>
    <t>RG23</t>
  </si>
  <si>
    <t>RG19</t>
  </si>
  <si>
    <t xml:space="preserve">RD1 </t>
  </si>
  <si>
    <t>RD24</t>
  </si>
  <si>
    <t>RG18</t>
  </si>
  <si>
    <t>RC16</t>
  </si>
  <si>
    <t>RR762</t>
  </si>
  <si>
    <t>RR609</t>
  </si>
  <si>
    <t>RR751</t>
  </si>
  <si>
    <t>RR618</t>
  </si>
  <si>
    <t>RR750</t>
  </si>
  <si>
    <t>C665</t>
  </si>
  <si>
    <t>DA</t>
  </si>
  <si>
    <t xml:space="preserve">CMR </t>
  </si>
  <si>
    <t>USD</t>
  </si>
  <si>
    <t>US</t>
  </si>
  <si>
    <t xml:space="preserve">4318 </t>
  </si>
  <si>
    <t xml:space="preserve">4309 </t>
  </si>
  <si>
    <t>Art Uz Casnic</t>
  </si>
  <si>
    <t>Piese Auto</t>
  </si>
  <si>
    <t>RR753</t>
  </si>
  <si>
    <t>RR754</t>
  </si>
  <si>
    <t>RR755</t>
  </si>
  <si>
    <t>RR757</t>
  </si>
  <si>
    <t>Imbracaminte</t>
  </si>
  <si>
    <t>RR761</t>
  </si>
  <si>
    <t>RR763</t>
  </si>
  <si>
    <t>RR764</t>
  </si>
  <si>
    <t>RR765</t>
  </si>
  <si>
    <t>RR766</t>
  </si>
  <si>
    <t>RR767</t>
  </si>
  <si>
    <t>RR770</t>
  </si>
  <si>
    <t>RR771</t>
  </si>
  <si>
    <t>RR772</t>
  </si>
  <si>
    <t>RR773</t>
  </si>
  <si>
    <t>RR775</t>
  </si>
  <si>
    <t>RR777</t>
  </si>
  <si>
    <t>RR778</t>
  </si>
  <si>
    <t>RR779</t>
  </si>
  <si>
    <t>RR780</t>
  </si>
  <si>
    <t>RR781</t>
  </si>
  <si>
    <t>RR782</t>
  </si>
  <si>
    <t>RR783</t>
  </si>
  <si>
    <t>RR784</t>
  </si>
  <si>
    <t>RR785</t>
  </si>
  <si>
    <t>Alimente Neperisabile</t>
  </si>
  <si>
    <t>Produse Ingrijire Personala , Alimente Neperisabile</t>
  </si>
  <si>
    <t>Art Copii, Imbracaminte</t>
  </si>
  <si>
    <t>RR786</t>
  </si>
  <si>
    <t>RR787</t>
  </si>
  <si>
    <t>RR788</t>
  </si>
  <si>
    <t>RR789</t>
  </si>
  <si>
    <t>RR790</t>
  </si>
  <si>
    <t>RR791</t>
  </si>
  <si>
    <t>RR792</t>
  </si>
  <si>
    <t>RR793</t>
  </si>
  <si>
    <t>RR794</t>
  </si>
  <si>
    <t>RR795</t>
  </si>
  <si>
    <t>RR796</t>
  </si>
  <si>
    <t>RR797</t>
  </si>
  <si>
    <t>RR798</t>
  </si>
  <si>
    <t>Bobe Mihai</t>
  </si>
  <si>
    <t xml:space="preserve"> Satu Mare, Sm</t>
  </si>
  <si>
    <t>Kaski Stefan</t>
  </si>
  <si>
    <t>4318 48Th Ave  New York, Ny</t>
  </si>
  <si>
    <t>4309 48Th Ave  Woodside ,Ny</t>
  </si>
  <si>
    <t>4309  48Th Ave  Woodside , Ny</t>
  </si>
  <si>
    <t>4309 48Th Ave  Woodside Ny</t>
  </si>
  <si>
    <t>4318 48Th Ave Woodside Ny</t>
  </si>
  <si>
    <t>4318 48Th Ave  New York , Ny</t>
  </si>
  <si>
    <t>4309 48Th Ave Woodside Ny</t>
  </si>
  <si>
    <t xml:space="preserve">43-09 </t>
  </si>
  <si>
    <t>Accesorii Auto</t>
  </si>
  <si>
    <t xml:space="preserve">Pongracz Adriana Marinela </t>
  </si>
  <si>
    <t>Balan Teodorina</t>
  </si>
  <si>
    <t>Cerciu Alexandra</t>
  </si>
  <si>
    <t>Marciuc Andra Daniela</t>
  </si>
  <si>
    <t>Chiciudean Ionela Doinita</t>
  </si>
  <si>
    <t>Apostol Paul Adrian</t>
  </si>
  <si>
    <t>Aleea Stejarului 2, Constanța, Ct</t>
  </si>
  <si>
    <t>Șoseaua Garoafei 15, Garoafa, Vn</t>
  </si>
  <si>
    <t>Oncești 15, Sibiu, Sb</t>
  </si>
  <si>
    <t>Aleea Iasomiei 3, Sibiu, Sb</t>
  </si>
  <si>
    <t>Someșului 3, Cluj-Napoca, Cj</t>
  </si>
  <si>
    <t>Aleea Portului Nou 8A, Constanța, Ct</t>
  </si>
  <si>
    <t xml:space="preserve"> Botoșani, Bt</t>
  </si>
  <si>
    <t xml:space="preserve"> București, B</t>
  </si>
  <si>
    <t xml:space="preserve"> Ploiești, Ph</t>
  </si>
  <si>
    <t xml:space="preserve"> Brăila, Br</t>
  </si>
  <si>
    <t xml:space="preserve"> Craiova, Dj</t>
  </si>
  <si>
    <t xml:space="preserve"> Brașov, Bv</t>
  </si>
  <si>
    <t xml:space="preserve"> Galați, Gl</t>
  </si>
  <si>
    <t xml:space="preserve"> Râmnicu Sărat, Bz</t>
  </si>
  <si>
    <t xml:space="preserve"> Iași, Is</t>
  </si>
  <si>
    <t xml:space="preserve"> Constanța, Ct</t>
  </si>
  <si>
    <t xml:space="preserve"> Cluj-Napoca, Cj</t>
  </si>
  <si>
    <t xml:space="preserve"> Garoafa, Vn</t>
  </si>
  <si>
    <t xml:space="preserve"> Sibiu, Sb</t>
  </si>
  <si>
    <t xml:space="preserve"> Râmnicu Vâlcea, Vl</t>
  </si>
  <si>
    <t xml:space="preserve"> Timișoara, Tm</t>
  </si>
  <si>
    <t xml:space="preserve"> Alba Iulia, Ab</t>
  </si>
  <si>
    <t xml:space="preserve"> Băicoi, Ph</t>
  </si>
  <si>
    <t xml:space="preserve"> Focșani, Vn</t>
  </si>
  <si>
    <t xml:space="preserve"> Baciu, Cj</t>
  </si>
  <si>
    <t xml:space="preserve"> Târgu Jiu, Gj</t>
  </si>
  <si>
    <t xml:space="preserve"> Dej, Cj</t>
  </si>
  <si>
    <t xml:space="preserve"> Baia Mare, Mm</t>
  </si>
  <si>
    <t xml:space="preserve"> Luduș, Ms</t>
  </si>
  <si>
    <t>Atila Laura</t>
  </si>
  <si>
    <t>Nuga Ionuta</t>
  </si>
  <si>
    <t>Papa Marie</t>
  </si>
  <si>
    <t>Sinca Linda</t>
  </si>
  <si>
    <t>Budea Xenia</t>
  </si>
  <si>
    <t>Mihai Fotache</t>
  </si>
  <si>
    <t>Cristina Ghenis</t>
  </si>
  <si>
    <t>Petrut Alex</t>
  </si>
  <si>
    <t>Reche Anca</t>
  </si>
  <si>
    <t>4318 48Th Ave  New York ,Ny</t>
  </si>
  <si>
    <t>4309 48Th Ave  Woodside, Ny</t>
  </si>
  <si>
    <t>4318 48Th Ave Woodside, Ny</t>
  </si>
  <si>
    <t>2152 Scarborough Way  Bushkill, Pa</t>
  </si>
  <si>
    <t xml:space="preserve"> Sunnyside, Ny</t>
  </si>
  <si>
    <t xml:space="preserve"> Bushkill, Pa</t>
  </si>
  <si>
    <t xml:space="preserve"> Woodside, Ny</t>
  </si>
  <si>
    <t xml:space="preserve">44 </t>
  </si>
  <si>
    <t xml:space="preserve">2152 </t>
  </si>
  <si>
    <t xml:space="preserve">43-18 </t>
  </si>
  <si>
    <t>Imbracaminte, Incaltaminte, Produse Ingrijire Personala, Accesorii</t>
  </si>
  <si>
    <t>Imbracaminte, Incaltaminte, Accesorii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</si>
  <si>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</si>
  <si>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</si>
  <si>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</si>
  <si>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</si>
  <si>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</si>
  <si>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</si>
  <si>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</si>
  <si>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</si>
  <si>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</si>
  <si>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</si>
  <si>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</si>
  <si>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</si>
  <si>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</si>
  <si>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</si>
  <si>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</si>
  <si>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</si>
  <si>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</si>
  <si>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</si>
  <si>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</si>
  <si>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</si>
  <si>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</si>
  <si>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</si>
  <si>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</si>
  <si>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</si>
  <si>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</si>
  <si>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</si>
  <si>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</si>
  <si>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</si>
  <si>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</si>
  <si>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</si>
  <si>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</si>
  <si>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</si>
  <si>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</si>
  <si>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</si>
  <si>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</si>
  <si>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</si>
  <si>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</si>
  <si>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</si>
  <si>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</si>
  <si>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G415</t>
  </si>
  <si>
    <t>G416</t>
  </si>
  <si>
    <t>G417</t>
  </si>
  <si>
    <t>G418</t>
  </si>
  <si>
    <t>G419</t>
  </si>
  <si>
    <t>G420</t>
  </si>
  <si>
    <t>G421</t>
  </si>
  <si>
    <t>G422</t>
  </si>
  <si>
    <t>G423</t>
  </si>
  <si>
    <t>G424</t>
  </si>
  <si>
    <t>G425</t>
  </si>
  <si>
    <t>G426</t>
  </si>
  <si>
    <t>G427</t>
  </si>
  <si>
    <t>G428</t>
  </si>
  <si>
    <t>G429</t>
  </si>
  <si>
    <t>G430</t>
  </si>
  <si>
    <t>G431</t>
  </si>
  <si>
    <t>G432</t>
  </si>
  <si>
    <t>G433</t>
  </si>
  <si>
    <t>G434</t>
  </si>
  <si>
    <t>G435</t>
  </si>
  <si>
    <t>G436</t>
  </si>
  <si>
    <t>G437</t>
  </si>
  <si>
    <t>G438</t>
  </si>
  <si>
    <t>G439</t>
  </si>
  <si>
    <t>G440</t>
  </si>
  <si>
    <t>G441</t>
  </si>
  <si>
    <t>G442</t>
  </si>
  <si>
    <t>G443</t>
  </si>
  <si>
    <t>G444</t>
  </si>
  <si>
    <t>G445</t>
  </si>
  <si>
    <t>G446</t>
  </si>
  <si>
    <t>G447</t>
  </si>
  <si>
    <t>G448</t>
  </si>
  <si>
    <t>G449</t>
  </si>
  <si>
    <t>G450</t>
  </si>
  <si>
    <t>G451</t>
  </si>
  <si>
    <t>G452</t>
  </si>
  <si>
    <t>G453</t>
  </si>
  <si>
    <t>G454</t>
  </si>
  <si>
    <t>G455</t>
  </si>
  <si>
    <t>G456</t>
  </si>
  <si>
    <t>G457</t>
  </si>
  <si>
    <t>G458</t>
  </si>
  <si>
    <t>G459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</si>
  <si>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</si>
  <si>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</si>
  <si>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</si>
  <si>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</si>
  <si>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</si>
  <si>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</si>
  <si>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</si>
  <si>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</si>
  <si>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</si>
  <si>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G469</t>
  </si>
  <si>
    <t>G470</t>
  </si>
  <si>
    <t>G471</t>
  </si>
  <si>
    <t>G472</t>
  </si>
  <si>
    <t>G473</t>
  </si>
  <si>
    <t>G474</t>
  </si>
  <si>
    <t>G475</t>
  </si>
  <si>
    <t>G476</t>
  </si>
  <si>
    <t>G477</t>
  </si>
  <si>
    <t>G478</t>
  </si>
  <si>
    <t>G479</t>
  </si>
  <si>
    <t>G480</t>
  </si>
  <si>
    <t>G481</t>
  </si>
  <si>
    <t>G482</t>
  </si>
  <si>
    <t>G483</t>
  </si>
  <si>
    <t>G484</t>
  </si>
  <si>
    <t>G485</t>
  </si>
  <si>
    <t>G486</t>
  </si>
  <si>
    <t>G487</t>
  </si>
  <si>
    <t>G488</t>
  </si>
  <si>
    <t>G489</t>
  </si>
  <si>
    <t>Adrian Budac</t>
  </si>
  <si>
    <t>Tefyde Ibraim</t>
  </si>
  <si>
    <t>Loredana Elena Merisescu</t>
  </si>
  <si>
    <t>Silvian Sava</t>
  </si>
  <si>
    <t>Ecaterina Stefanescu</t>
  </si>
  <si>
    <t>Praja Marinela Liliana</t>
  </si>
  <si>
    <t>Muntean Cristina Anca</t>
  </si>
  <si>
    <t>Podar Oana Andrea</t>
  </si>
  <si>
    <t>Coltofeanu Lavinia</t>
  </si>
  <si>
    <t>Alin Daniel Hauca</t>
  </si>
  <si>
    <t>Diaconu Bogdan</t>
  </si>
  <si>
    <t>Balint Maria</t>
  </si>
  <si>
    <t>Alina Adriana Olaru</t>
  </si>
  <si>
    <t>Man Andrada Maria</t>
  </si>
  <si>
    <t>Tanase Alina Raluca</t>
  </si>
  <si>
    <t>Toreanu Vasilica</t>
  </si>
  <si>
    <t>Rudei Elizaveta</t>
  </si>
  <si>
    <t>Manole Madalina Nicoleta</t>
  </si>
  <si>
    <t>Bubu Catalin</t>
  </si>
  <si>
    <t>Amalia Alina Craiu</t>
  </si>
  <si>
    <t>Cojocaru Alina</t>
  </si>
  <si>
    <t>Ancuta Sorina Ivan</t>
  </si>
  <si>
    <t>Dragnea Monica</t>
  </si>
  <si>
    <t>Grety Trusca</t>
  </si>
  <si>
    <t>Dobre Daniela</t>
  </si>
  <si>
    <t>Cziko Maria Magdalena</t>
  </si>
  <si>
    <t>Popescu Elena</t>
  </si>
  <si>
    <t>Matei Alina Maria</t>
  </si>
  <si>
    <t>Ghidu Ana</t>
  </si>
  <si>
    <t>Calin Andreea</t>
  </si>
  <si>
    <t>Ungureanu Mihaela</t>
  </si>
  <si>
    <t>Pandrea Sorin Bogdan</t>
  </si>
  <si>
    <t>Tanase Cotavian</t>
  </si>
  <si>
    <t>Florean Cristian</t>
  </si>
  <si>
    <t>Mihnea Ungureanu</t>
  </si>
  <si>
    <t>Oana Virag</t>
  </si>
  <si>
    <t>Andreea Rus</t>
  </si>
  <si>
    <t>Szilveszter Greta</t>
  </si>
  <si>
    <t>Stoica Maria</t>
  </si>
  <si>
    <t>Fratila Bogdan</t>
  </si>
  <si>
    <t>Bogdan Niculae</t>
  </si>
  <si>
    <t>Enascut Gabriel</t>
  </si>
  <si>
    <t>Radu Gabriela</t>
  </si>
  <si>
    <t>Tanasa Mariana Roxana</t>
  </si>
  <si>
    <t>Staicu Cristian</t>
  </si>
  <si>
    <t>Dinu Gabriel Adrian</t>
  </si>
  <si>
    <t>Tanasescu Sabrina Adriana</t>
  </si>
  <si>
    <t>Petcu Elena</t>
  </si>
  <si>
    <t>Vilau Camelia Mihaela</t>
  </si>
  <si>
    <t>Drama Ecaterina</t>
  </si>
  <si>
    <t>Oprea Corina Cecilia</t>
  </si>
  <si>
    <t>Nisioi Doina</t>
  </si>
  <si>
    <t>Nicu Dinuta</t>
  </si>
  <si>
    <t>Cristea Valerica</t>
  </si>
  <si>
    <t>Cuceu Anca Livia</t>
  </si>
  <si>
    <t>Costin Adriana</t>
  </si>
  <si>
    <t>Armanaschi Antonio</t>
  </si>
  <si>
    <t>Ciocoiu Alexandra</t>
  </si>
  <si>
    <t>Huza Ana</t>
  </si>
  <si>
    <t>Rosu Anca</t>
  </si>
  <si>
    <t>Sandru Alina</t>
  </si>
  <si>
    <t>Toma Maricela</t>
  </si>
  <si>
    <t>Buzdugan Dan Catalin</t>
  </si>
  <si>
    <t>Mihai Oana Cristina</t>
  </si>
  <si>
    <t>Crisan Simina Maria</t>
  </si>
  <si>
    <t>Toriai Melissa</t>
  </si>
  <si>
    <t>Lazar Adina Valentina</t>
  </si>
  <si>
    <t>Stefan Andreea</t>
  </si>
  <si>
    <t>Gabriel Trifina</t>
  </si>
  <si>
    <t>Pavel Andreea</t>
  </si>
  <si>
    <t>Tunaru Ion</t>
  </si>
  <si>
    <t>Gego Emoke</t>
  </si>
  <si>
    <t>Ouatu Diana</t>
  </si>
  <si>
    <t>Oana Marcu</t>
  </si>
  <si>
    <t>Zarnescu Veronica</t>
  </si>
  <si>
    <t>Marcus Carmen Luiza</t>
  </si>
  <si>
    <t>Tancz Elisabeta</t>
  </si>
  <si>
    <t>Motofei Bogdan</t>
  </si>
  <si>
    <t>Carpinisan Doina</t>
  </si>
  <si>
    <t>Ana Dumitrescu</t>
  </si>
  <si>
    <t>Perde Daniel Sebastian</t>
  </si>
  <si>
    <t>Arcus Maria</t>
  </si>
  <si>
    <t>Grec Ramona Codruta</t>
  </si>
  <si>
    <t>Roxana Mihaela Trasculescu</t>
  </si>
  <si>
    <t>Camelia Ioana Marfiuc</t>
  </si>
  <si>
    <t>Eniko Balazs</t>
  </si>
  <si>
    <t>Burlacu Costela</t>
  </si>
  <si>
    <t>Stefanica Elena</t>
  </si>
  <si>
    <t>Pescaru Alexandru Laurentiu</t>
  </si>
  <si>
    <t>Tarta Raluca Diana</t>
  </si>
  <si>
    <t>Rosu Alexandru</t>
  </si>
  <si>
    <t>Ionescu Daniela</t>
  </si>
  <si>
    <t>Zoltan Luminita</t>
  </si>
  <si>
    <t>Ivan Denisa Georgeta</t>
  </si>
  <si>
    <t>Horja Adina</t>
  </si>
  <si>
    <t>Cuza Diana Ruxandra</t>
  </si>
  <si>
    <t>Popescu Judit</t>
  </si>
  <si>
    <t>Borchina Daniela</t>
  </si>
  <si>
    <t>Aga Luminita</t>
  </si>
  <si>
    <t>Carstea Radu</t>
  </si>
  <si>
    <t>Mihalcea Mirabela</t>
  </si>
  <si>
    <t>Ionita Mihaela</t>
  </si>
  <si>
    <t>Irimia Andreea</t>
  </si>
  <si>
    <t>Boboc Oana Elena</t>
  </si>
  <si>
    <t>Aura Steluta Filip</t>
  </si>
  <si>
    <t>Nicoleta Morariu</t>
  </si>
  <si>
    <t>Poienelor 2A, Brașov, Bv</t>
  </si>
  <si>
    <t>Jandarmeriei 263B, București, B</t>
  </si>
  <si>
    <t>Blv. Mircea Cel Bătrân 10, Târgoviște, Db</t>
  </si>
  <si>
    <t>Horei 2, București, B</t>
  </si>
  <si>
    <t>Bd. Pieptănari 83, București, B</t>
  </si>
  <si>
    <t>Pongracz Adriana Marinela 22, Tăuții Măgherăuș, Mm</t>
  </si>
  <si>
    <t>Str. Principală 597A, Săcălaz, Tm</t>
  </si>
  <si>
    <t>Transilvaniei 26B, Brașov, Bv</t>
  </si>
  <si>
    <t>Saturn 6C, Baciu, Cj</t>
  </si>
  <si>
    <t>Piscului 26, București, B</t>
  </si>
  <si>
    <t>Schit Tărâță 4, Iași, Is</t>
  </si>
  <si>
    <t>Str. Principală, Răcoasa, Vn</t>
  </si>
  <si>
    <t>Intrarea Ghipeș 6, Odorheiu Secuiesc, Hr</t>
  </si>
  <si>
    <t>Principala 222, Zorești, Bz</t>
  </si>
  <si>
    <t>Mănăstirii 23A, Mica, Cj</t>
  </si>
  <si>
    <t>Șos. Ștefan Cel Mare 6, București, B</t>
  </si>
  <si>
    <t>Calea Călărașilor 325, Brăila, Br</t>
  </si>
  <si>
    <t>Bd. Ștefan Augustin Doinaș 1–3, Arad, Ar</t>
  </si>
  <si>
    <t>Tazlăului 7, Bacău, Bc</t>
  </si>
  <si>
    <t>Știrbei Vodă 3A, Râmnicu Vâlcea, Vl</t>
  </si>
  <si>
    <t>Râul Dorna 8, București, B</t>
  </si>
  <si>
    <t>Aleea Lalelelor 12, Suceava, Sv</t>
  </si>
  <si>
    <t>Murgeni 5, București, B</t>
  </si>
  <si>
    <t>Alecu Bagdat 9, Râmnicu Sărat, Bz</t>
  </si>
  <si>
    <t>Elena 4, București, B</t>
  </si>
  <si>
    <t>Dr. Nicolae Ionescu Sisești 11, Craiova, Dj</t>
  </si>
  <si>
    <t>Aleea Snagov 2, Cluj-Napoca, Cj</t>
  </si>
  <si>
    <t>Str. Principală 71, Plopșoru, Gj</t>
  </si>
  <si>
    <t>Aleea Zambilelor 1, Baciu, Cj</t>
  </si>
  <si>
    <t>Petre Liciu 14, Vălenii De Munte, Ph</t>
  </si>
  <si>
    <t>Galaxiei 20–22, Sânpetru, Bv</t>
  </si>
  <si>
    <t>Progresul 17, Băicoi, Ph</t>
  </si>
  <si>
    <t>Prometeu 23, București, B</t>
  </si>
  <si>
    <t>Piața Victoriei 1, Ploiești, Ph</t>
  </si>
  <si>
    <t>Grădinarilor 33, Sânnicoară, Cj</t>
  </si>
  <si>
    <t>Str. Principală, Drăgănești-Vlașca, Tr</t>
  </si>
  <si>
    <t>Piața Arenei 1–2, Arad, Ar</t>
  </si>
  <si>
    <t>Dealul Rozelor 7, Dej, Cj</t>
  </si>
  <si>
    <t>Str. Principală 491A, Chibed, Ms</t>
  </si>
  <si>
    <t>Cerna 1, Târgu Jiu, Gj</t>
  </si>
  <si>
    <t>Turda 125, București, B</t>
  </si>
  <si>
    <t>Iuliu Tetrat 6, București, B</t>
  </si>
  <si>
    <t>Str. Principală 185, Gepiu, Bh</t>
  </si>
  <si>
    <t>Bd. Unirii 12, București, B</t>
  </si>
  <si>
    <t>Bicaz 150, Bacău, Bc</t>
  </si>
  <si>
    <t>Calea Vitan 104A, București, B</t>
  </si>
  <si>
    <t>Calea Ferentari 72, București, B</t>
  </si>
  <si>
    <t>Constantin Miculescu 18, București, B</t>
  </si>
  <si>
    <t>Caracal 87, Craiova, Dj</t>
  </si>
  <si>
    <t>Calea București 102, Brașov, Bv</t>
  </si>
  <si>
    <t>Aleea Vlasiei 1, Ploiești, Ph</t>
  </si>
  <si>
    <t>Morarilor 9–11, Valea Adâncă, Is</t>
  </si>
  <si>
    <t>Bd. Independenței 50, Focșani, Vn</t>
  </si>
  <si>
    <t>Calea Călărașilor 315, Brăila, Br</t>
  </si>
  <si>
    <t>Miraslău 42A, Sibiu, Sb</t>
  </si>
  <si>
    <t>Str. Principală 347A, Feleacu, Cj</t>
  </si>
  <si>
    <t>Petre Ispirescu 43B, Pitești, Ag</t>
  </si>
  <si>
    <t>Vitejilor 3, Iași, Is</t>
  </si>
  <si>
    <t>Sub Vii 117, Cătina, Cj</t>
  </si>
  <si>
    <t>Anton Bacalbașa 19, Cluj-Napoca, Cj</t>
  </si>
  <si>
    <t>Vișinilor 22, Sibiu, Sb</t>
  </si>
  <si>
    <t>George Enescu 22A, Vlădiceasca, If</t>
  </si>
  <si>
    <t>Egalității 31, Brașov, Bv</t>
  </si>
  <si>
    <t>Plopului 16, Vânători, Gl</t>
  </si>
  <si>
    <t>Teilor 6, Florești, Cj</t>
  </si>
  <si>
    <t>Str. Mare 113, Oar, Sm</t>
  </si>
  <si>
    <t>Rândunelelor 7, Luduș, Ms</t>
  </si>
  <si>
    <t>Unirii 9Bis, Podoleni, Nt</t>
  </si>
  <si>
    <t>Weiner Palada 49A, Roșu, If</t>
  </si>
  <si>
    <t>Donath 264, Ploiești, Ph</t>
  </si>
  <si>
    <t>Mihai Viteazul 2A, Valea Adâncă, Is</t>
  </si>
  <si>
    <t>Mărășești 151, Baia De Aramă, Mh</t>
  </si>
  <si>
    <t>Str. Principală 10, Câmpulung, Ag</t>
  </si>
  <si>
    <t>Bd. Saturn 50, Brașov, Bv</t>
  </si>
  <si>
    <t>11 Iunie 51, București, B</t>
  </si>
  <si>
    <t>48Th Avenue 4309, Woodside, Ny</t>
  </si>
  <si>
    <t>Zăbrătău 1052, Sita Buzăului, Cv</t>
  </si>
  <si>
    <t>Fabricii 5, Cluj-Napoca, Cj</t>
  </si>
  <si>
    <t>Valea Buzăului 14, București, B</t>
  </si>
  <si>
    <t>Traian Novac 9, Timișoara, Tm</t>
  </si>
  <si>
    <t>Brestei 230, Craiova, Dj</t>
  </si>
  <si>
    <t>Dorobanților 61–63, Cluj-Napoca, Cj</t>
  </si>
  <si>
    <t>Trandafirilor 29, Botoșani, Bt</t>
  </si>
  <si>
    <t>Zenit 5, Satu Mare, Sm</t>
  </si>
  <si>
    <t>Calea Șagului 76, Timișoara, Tm</t>
  </si>
  <si>
    <t>Móricz Zsigmond 42, Dumbrăvița, Tm</t>
  </si>
  <si>
    <t>Aleea Moldoveanu 6, Cluj-Napoca, Cj</t>
  </si>
  <si>
    <t>Spancioc 32, Iași, Is</t>
  </si>
  <si>
    <t>Brizei 3A, Constanța, Ct</t>
  </si>
  <si>
    <t>Str. Principală 216, Băiculești, Ag</t>
  </si>
  <si>
    <t>Aleea Tihuța 3A, Bistrița, Bn</t>
  </si>
  <si>
    <t>Bisericii 65B, Mărgineni, Bc</t>
  </si>
  <si>
    <t>Malu Roșu 114, Ploiești, Ph</t>
  </si>
  <si>
    <t>Aleea Rucăr 7, Cluj-Napoca, Cj</t>
  </si>
  <si>
    <t>Venus Ii 10, Dumbrăvița, Tm</t>
  </si>
  <si>
    <t>Gladiolelor 3, Alba Iulia, Ab</t>
  </si>
  <si>
    <t>G-Ral Ioan Dragalina 10A, Galați, Gl</t>
  </si>
  <si>
    <t>Bd. G-Ral Ion Dragalina 45, Timișoara, Tm</t>
  </si>
  <si>
    <t>Oțelarilor 50A, Sibiu, Sb</t>
  </si>
  <si>
    <t>Bd. Republicii 10, Baia Mare, Mm</t>
  </si>
  <si>
    <t>Mizil 1, București, B</t>
  </si>
  <si>
    <t>Nuferilor 32, Năvodari, Ct</t>
  </si>
  <si>
    <t>Vântului 29, Cluj-Napoca, Cj</t>
  </si>
  <si>
    <t>Bd. Biruinței 8, Pantelimon, If</t>
  </si>
  <si>
    <t>1 Decembrie 1918 16, Galați, Gl</t>
  </si>
  <si>
    <t>Pătulului 2, București, B</t>
  </si>
  <si>
    <t>Bd. Unirii 17, București, B</t>
  </si>
  <si>
    <t xml:space="preserve"> Târgoviște, Db</t>
  </si>
  <si>
    <t xml:space="preserve"> Tăuții Măgherăuș, Mm</t>
  </si>
  <si>
    <t xml:space="preserve"> Săcălaz, Tm</t>
  </si>
  <si>
    <t xml:space="preserve"> Răcoasa, Vn</t>
  </si>
  <si>
    <t xml:space="preserve"> Odorheiu Secuiesc, Hr</t>
  </si>
  <si>
    <t xml:space="preserve"> Zorești, Bz</t>
  </si>
  <si>
    <t xml:space="preserve"> Mica, Cj</t>
  </si>
  <si>
    <t xml:space="preserve"> Arad, Ar</t>
  </si>
  <si>
    <t xml:space="preserve"> Bacău, Bc</t>
  </si>
  <si>
    <t xml:space="preserve"> Suceava, Sv</t>
  </si>
  <si>
    <t xml:space="preserve"> Plopșoru, Gj</t>
  </si>
  <si>
    <t xml:space="preserve"> Vălenii De Munte, Ph</t>
  </si>
  <si>
    <t xml:space="preserve"> Sânpetru, Bv</t>
  </si>
  <si>
    <t xml:space="preserve"> Sânnicoară, Cj</t>
  </si>
  <si>
    <t xml:space="preserve"> Drăgănești-Vlașca, Tr</t>
  </si>
  <si>
    <t xml:space="preserve"> Chibed, Ms</t>
  </si>
  <si>
    <t xml:space="preserve"> Gepiu, Bh</t>
  </si>
  <si>
    <t xml:space="preserve"> Valea Adâncă, Is</t>
  </si>
  <si>
    <t xml:space="preserve"> Feleacu, Cj</t>
  </si>
  <si>
    <t xml:space="preserve"> Pitești, Ag</t>
  </si>
  <si>
    <t xml:space="preserve"> Cătina, Cj</t>
  </si>
  <si>
    <t xml:space="preserve"> Vlădiceasca, If</t>
  </si>
  <si>
    <t xml:space="preserve"> Vânători, Gl</t>
  </si>
  <si>
    <t xml:space="preserve"> Florești, Cj</t>
  </si>
  <si>
    <t xml:space="preserve"> Oar, Sm</t>
  </si>
  <si>
    <t xml:space="preserve"> Podoleni, Nt</t>
  </si>
  <si>
    <t xml:space="preserve"> Roșu, If</t>
  </si>
  <si>
    <t xml:space="preserve"> Baia De Aramă, Mh</t>
  </si>
  <si>
    <t xml:space="preserve"> Câmpulung, Ag</t>
  </si>
  <si>
    <t xml:space="preserve"> Sita Buzăului, Cv</t>
  </si>
  <si>
    <t xml:space="preserve"> Dumbrăvița, Tm</t>
  </si>
  <si>
    <t xml:space="preserve"> Băiculești, Ag</t>
  </si>
  <si>
    <t xml:space="preserve"> Bistrița, Bn</t>
  </si>
  <si>
    <t xml:space="preserve"> Mărgineni, Bc</t>
  </si>
  <si>
    <t xml:space="preserve"> Năvodari, Ct</t>
  </si>
  <si>
    <t xml:space="preserve"> Pantelimon, If</t>
  </si>
  <si>
    <t>Eduard Palaghita</t>
  </si>
  <si>
    <t>Nergis Sangrab</t>
  </si>
  <si>
    <t>Maria Dragomir</t>
  </si>
  <si>
    <t>Mihai Ciustea</t>
  </si>
  <si>
    <t>Ruxandra Sevastru</t>
  </si>
  <si>
    <t>Binschi Elena</t>
  </si>
  <si>
    <t>Alina Strutu</t>
  </si>
  <si>
    <t>Fader Ionuta</t>
  </si>
  <si>
    <t>Ceanu Claudia</t>
  </si>
  <si>
    <t>Bogdan Cristian</t>
  </si>
  <si>
    <t>Lavi Ionut</t>
  </si>
  <si>
    <t>Gabus Cosmina</t>
  </si>
  <si>
    <t>Pearse Rahman</t>
  </si>
  <si>
    <t>Sin Ninel</t>
  </si>
  <si>
    <t>Paste Marina</t>
  </si>
  <si>
    <t>Justin Leonor</t>
  </si>
  <si>
    <t>Roanda Gravit</t>
  </si>
  <si>
    <t>Manole Sorin</t>
  </si>
  <si>
    <t>Mia Chen</t>
  </si>
  <si>
    <t>Delia Stroe</t>
  </si>
  <si>
    <t>Earl Petruta</t>
  </si>
  <si>
    <t>Vlad  Baluta</t>
  </si>
  <si>
    <t>Natalia Bucur</t>
  </si>
  <si>
    <t>Liana Gheorghias</t>
  </si>
  <si>
    <t>Lazar Vali</t>
  </si>
  <si>
    <t>Gorescu Alina</t>
  </si>
  <si>
    <t>Mihaela Pop</t>
  </si>
  <si>
    <t>Sanduta Marina</t>
  </si>
  <si>
    <t>Tancu Nuta</t>
  </si>
  <si>
    <t>Rache Gloria</t>
  </si>
  <si>
    <t>Nonis Raluca</t>
  </si>
  <si>
    <t>Vasile Lupu</t>
  </si>
  <si>
    <t>Tomas Horia</t>
  </si>
  <si>
    <t>Cuzma Marian</t>
  </si>
  <si>
    <t>Paul Strauss</t>
  </si>
  <si>
    <t>Mirela Iordan</t>
  </si>
  <si>
    <t>Ioana Stoica</t>
  </si>
  <si>
    <t>Neagur Aria</t>
  </si>
  <si>
    <t>Simion Doina</t>
  </si>
  <si>
    <t>Radu Budau</t>
  </si>
  <si>
    <t>Jianu Ciprian</t>
  </si>
  <si>
    <t>Iordache Mihai</t>
  </si>
  <si>
    <t>Daniela Neagu</t>
  </si>
  <si>
    <t>Orsan Elena</t>
  </si>
  <si>
    <t>Aurelia Mican</t>
  </si>
  <si>
    <t>Elena Dudas</t>
  </si>
  <si>
    <t>Moraru Elena</t>
  </si>
  <si>
    <t>Nita Vasilca</t>
  </si>
  <si>
    <t>Helga Dumitru</t>
  </si>
  <si>
    <t>Baru Marian</t>
  </si>
  <si>
    <t>Vascu Tina</t>
  </si>
  <si>
    <t>Olivia Musan</t>
  </si>
  <si>
    <t>Mioara Aurel</t>
  </si>
  <si>
    <t>Lusca Arina</t>
  </si>
  <si>
    <t>Iurten Cristi</t>
  </si>
  <si>
    <t>Petreu Bertea</t>
  </si>
  <si>
    <t>Florina Sandu</t>
  </si>
  <si>
    <t>Pop Laura</t>
  </si>
  <si>
    <t>Dinca Iulia</t>
  </si>
  <si>
    <t>Dana Loren</t>
  </si>
  <si>
    <t>Monda Lucia</t>
  </si>
  <si>
    <t>Prun Violeta</t>
  </si>
  <si>
    <t>Cristina Olaru</t>
  </si>
  <si>
    <t>Paunus Luminita</t>
  </si>
  <si>
    <t>Sultan Bogdana</t>
  </si>
  <si>
    <t>Andra Nitu</t>
  </si>
  <si>
    <t>Alin Bunaciu</t>
  </si>
  <si>
    <t>Rahip Marina</t>
  </si>
  <si>
    <t>Hanes Vlad</t>
  </si>
  <si>
    <t>Onurs Claudia</t>
  </si>
  <si>
    <t>Capat Lenuta</t>
  </si>
  <si>
    <t>Remus Damian</t>
  </si>
  <si>
    <t>Naud Lorena</t>
  </si>
  <si>
    <t>Milos Karina</t>
  </si>
  <si>
    <t>Lazar Ilie</t>
  </si>
  <si>
    <t>Alma Denisa</t>
  </si>
  <si>
    <t>Dragos Dumitrescu</t>
  </si>
  <si>
    <t>Giani Radu</t>
  </si>
  <si>
    <t>Ana Ianos</t>
  </si>
  <si>
    <t>Severin Alina</t>
  </si>
  <si>
    <t>Thomas Bonoan</t>
  </si>
  <si>
    <t>Cristi Ion</t>
  </si>
  <si>
    <t>Jack Edison</t>
  </si>
  <si>
    <t>Silvia Mone</t>
  </si>
  <si>
    <t>Xiomara Alina</t>
  </si>
  <si>
    <t>Bogozu Simion</t>
  </si>
  <si>
    <t>Condure Reea</t>
  </si>
  <si>
    <t>Daniel  Georgescu</t>
  </si>
  <si>
    <t>Dragan Vio</t>
  </si>
  <si>
    <t>Olaru Regina</t>
  </si>
  <si>
    <t>Rober Laura</t>
  </si>
  <si>
    <t>Ella Gordan</t>
  </si>
  <si>
    <t>Stark Iza</t>
  </si>
  <si>
    <t>Gerry Milia</t>
  </si>
  <si>
    <t>Stoian Murel</t>
  </si>
  <si>
    <t>Aga Adriana</t>
  </si>
  <si>
    <t>Sergiu Major</t>
  </si>
  <si>
    <t>Sosta Monica</t>
  </si>
  <si>
    <t>Asia Cristina</t>
  </si>
  <si>
    <t>Vali Crina</t>
  </si>
  <si>
    <t>Stratan Rina</t>
  </si>
  <si>
    <t>Patrick Fields</t>
  </si>
  <si>
    <t>Stefan James</t>
  </si>
  <si>
    <t>7705 78Th St Glendale</t>
  </si>
  <si>
    <t>08 Hoover Ave  Jaamaica, Ny</t>
  </si>
  <si>
    <t>39-10 39St Sunnyside,Ny</t>
  </si>
  <si>
    <t>43-18 48Th Ave  Woodside Ny</t>
  </si>
  <si>
    <t>1702 Falcon Ct Mount Juliet, Tn</t>
  </si>
  <si>
    <t>48-28 48Th Ave Woodside , Ny</t>
  </si>
  <si>
    <t>4309 48Th Ave  Woodside  , Ny</t>
  </si>
  <si>
    <t>3611 Steiway St, Ny</t>
  </si>
  <si>
    <t>4309   48Th Ave  Eoodside, Ny</t>
  </si>
  <si>
    <t>162-11 9Th Ave  Beach Hurst ,Ny</t>
  </si>
  <si>
    <t>43-09 48Th Ave New York, Ny</t>
  </si>
  <si>
    <t>4309 48Th Ave  Woodsdie , Ny</t>
  </si>
  <si>
    <t>44 Stre, Et</t>
  </si>
  <si>
    <t>233 High Toint Trl Dyer, In</t>
  </si>
  <si>
    <t>141 Carnapple Rd Manhasset, Ny</t>
  </si>
  <si>
    <t>3065 Sw Corbeth Ln  Troutdale, Or</t>
  </si>
  <si>
    <t>4318 48Th Ave  Woodside, Ny</t>
  </si>
  <si>
    <t>2846 41St Street Ap B8</t>
  </si>
  <si>
    <t>41-15 50Th Ave Apt6M Sunnyside, Ny</t>
  </si>
  <si>
    <t>4751 40Th Street Apt4B Sunnyside Ny</t>
  </si>
  <si>
    <t>79-10 58Th Ave  Middle Village , Ny</t>
  </si>
  <si>
    <t>4309 48Th Ave Woodside, Ny</t>
  </si>
  <si>
    <t>Glendale</t>
  </si>
  <si>
    <t xml:space="preserve">  Jaamaica, Ny</t>
  </si>
  <si>
    <t xml:space="preserve"> Sunnyside,Ny</t>
  </si>
  <si>
    <t xml:space="preserve">  Woodside Ny</t>
  </si>
  <si>
    <t>Mount Juliet, Tn</t>
  </si>
  <si>
    <t xml:space="preserve">  New York ,Ny</t>
  </si>
  <si>
    <t>Steiway St, Ny</t>
  </si>
  <si>
    <t xml:space="preserve"> New York, Ny</t>
  </si>
  <si>
    <t>9Th Ave  Beach Hurst ,Ny</t>
  </si>
  <si>
    <t>New York, Ny</t>
  </si>
  <si>
    <t>Stre, Et</t>
  </si>
  <si>
    <t>High Toint Trl Dyer, In</t>
  </si>
  <si>
    <t xml:space="preserve"> Manhasset, Ny</t>
  </si>
  <si>
    <t xml:space="preserve">  Troutdale, Or</t>
  </si>
  <si>
    <t xml:space="preserve"> Sunnyside Ny</t>
  </si>
  <si>
    <t xml:space="preserve">  Middle Village , Ny</t>
  </si>
  <si>
    <t xml:space="preserve">7705 </t>
  </si>
  <si>
    <t xml:space="preserve">08 </t>
  </si>
  <si>
    <t xml:space="preserve">39-10 </t>
  </si>
  <si>
    <t xml:space="preserve">1702 </t>
  </si>
  <si>
    <t xml:space="preserve">48-28 </t>
  </si>
  <si>
    <t xml:space="preserve">3611 </t>
  </si>
  <si>
    <t xml:space="preserve">162-11 </t>
  </si>
  <si>
    <t xml:space="preserve">233 </t>
  </si>
  <si>
    <t xml:space="preserve">141 </t>
  </si>
  <si>
    <t xml:space="preserve">3065 </t>
  </si>
  <si>
    <t xml:space="preserve">2846 </t>
  </si>
  <si>
    <t xml:space="preserve">41-15 </t>
  </si>
  <si>
    <t xml:space="preserve">4751 </t>
  </si>
  <si>
    <t xml:space="preserve">79-10 </t>
  </si>
  <si>
    <t xml:space="preserve">Imbracaminte, Produse Ingrijire Personala, Alimente Neperisabile, Incaltaminte </t>
  </si>
  <si>
    <t>Alimente Neperisabile, Art Copii, Produse Ingrijire Personala</t>
  </si>
  <si>
    <t xml:space="preserve">Alimente Neperisabile , Accesorii, Imbracaminte, Incaltaminte </t>
  </si>
  <si>
    <t xml:space="preserve">Produse Ingrijire Personala, Imbracaminte, Alimente Neperisabile </t>
  </si>
  <si>
    <t>Accesorii Tir, Imbracaminte</t>
  </si>
  <si>
    <t xml:space="preserve">Art Uz Casnic , Accesorii, Alimente Neperisabile </t>
  </si>
  <si>
    <t>Piese Moto</t>
  </si>
  <si>
    <t>Produse Ingrijire Personala , Alimente Neperisabile, Imbracaminte</t>
  </si>
  <si>
    <t>Alimente Neperisabile, Accesorii Pescuit, Incaltaminte, Produse Ingrijire Personala, Imbracaminte</t>
  </si>
  <si>
    <t>Imbracaminte, Incaltaminte, Alimente Neperisabile, Accesorii, Art Copii, Telefon folosit, Produse Ingrijire Personala</t>
  </si>
  <si>
    <t>Piese Auto , Imbracaminte</t>
  </si>
  <si>
    <t>Accesorii, Imbracaminte</t>
  </si>
  <si>
    <t>Imbracaminte, Art Copii, Incaltaminte, Accesorii Auto, Alimente Neperisabile, Art Uz Casnic</t>
  </si>
  <si>
    <t>Produse Ingrijire Personala, Alimente Neperisabile, Accesorii Auto, Imbracaminte, Art Copii, Incaltaminte,</t>
  </si>
  <si>
    <t>Imbracaminte, Accesorii, Alimente Neperisabile</t>
  </si>
  <si>
    <t>Imbracaminte, AccesoriiMoto</t>
  </si>
  <si>
    <t>Imbracaminte , Accesorii, Incaltaminte , Art Uz Casnic</t>
  </si>
  <si>
    <t>Incaltaminte, Art Copii, Alimente Neperisabile, Produse Ingrijire Personala, Art Uz Casnic, Carti, Accesorii Auto, Imbracaminte</t>
  </si>
  <si>
    <t>Set Presuri Auto</t>
  </si>
  <si>
    <t>Produse Ingrijire Personala, Alimente Neperisabile, Art Copii, Imbracaminte, Art Uz Casnic</t>
  </si>
  <si>
    <t>Alimente Neperisabile, Incaltaminte  , Imbracaminte, Produse Ingrijire Personala , Accesorii</t>
  </si>
  <si>
    <t>Imbracaminte, Incaltaminte</t>
  </si>
  <si>
    <t>Produse Ingrijire Personala, Alimente Neperisabile, Art Copii, Accesorii Auto, Incaltaminte, Art Uz Casnic, Imbracaminte , Carti</t>
  </si>
  <si>
    <t>Accesorii Auto, Imbracaminte, Carti, Incaltaminte, Accesorii,</t>
  </si>
  <si>
    <t>Imbracaminte , Alimente Neperisabile, Accesorii</t>
  </si>
  <si>
    <t>Art Uz Casnic, Imbracaminte, Incaltaminte, Laptop folosit,</t>
  </si>
  <si>
    <t>Alimente Neperisabile,Accesorii</t>
  </si>
  <si>
    <t>Incaltaminte, Accesorii, Imbracaminte</t>
  </si>
  <si>
    <t>Produse Ingrijire Personala, Alimente Neperisabile, Art Copii</t>
  </si>
  <si>
    <t>Alimente Neperisabile, Art Uz Casnic, Carti, Alimente Neperisabile</t>
  </si>
  <si>
    <t>Accesorii Pescuit, Art Camping, Alimente Neperisabile, Produse Ingrijire Personala</t>
  </si>
  <si>
    <t>Laptop folosit</t>
  </si>
  <si>
    <t>Accesorii, Art Uz Casnic</t>
  </si>
  <si>
    <t>Alimente Neperisabile, Produse Ingrijire Personala, Accesorii, Accesorii Auto, Imbracaminte, Accesorii</t>
  </si>
  <si>
    <t>Accesorii Auto, Alimente Neperisabile</t>
  </si>
  <si>
    <t>Imbracaminte, Art Uz Casnic</t>
  </si>
  <si>
    <t>Imbracaminte, Alimente Neperisabile, Produse Ingrijire Personala,Telefon folosit</t>
  </si>
  <si>
    <t>Alimente Neperisabile, Produse Ingrijire Personala, Folosit Telefon folosit, Carti, Accesorii Auto</t>
  </si>
  <si>
    <t>Produse Ingrijire Personala, Alimente Neperisabile, Art Copii, Imbracaminte</t>
  </si>
  <si>
    <t>Accesorii Auto, Imbracaminte, Alimente Neperisabile, Art Copii, Produse Ingrijire Personala, Incaltaminte</t>
  </si>
  <si>
    <t>Imbracaminte , Alimente Neperisabile</t>
  </si>
  <si>
    <t>Alimente Neperisabile, Imbracaminte, Art Copii</t>
  </si>
  <si>
    <t>Imbracaminte, Alimente Neperisabile, Art Uz Casnic</t>
  </si>
  <si>
    <t>Incaltaminte, Accesorii, Art Copii, Produse Ingrijire Personala, Alimente Neperisabile</t>
  </si>
  <si>
    <t>Art Uz Casnic, Accesorii, Art Uz Casnic</t>
  </si>
  <si>
    <t>Accesorii Pescuit, Imbracaminte, Produse Ingrijire Personala, Alimente Neperisabile, Accesorii Auto</t>
  </si>
  <si>
    <t>Imbracaminte , Produse Ingrijire Personala, Laptop folosit, Incaltaminte , Accesorii</t>
  </si>
  <si>
    <t>Alimente Neperisabile, Produse Ingrijire Personala, Telefon folosit, Laptop folosit, Art Uz Casnic,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</si>
</sst>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65" formatCode="0.00;[Red]0.00"/>
    <numFmt numFmtId="167" formatCode="#,##0;[Red]#,##0"/>
  </numFmts>
  <fonts count="14">
    <font>
      <sz val="10"/>
      <name val="Arial"/>
      <family val="2"/>
    </font>
    <font>
      <sz val="10"/>
      <color indexed="63"/>
      <name val="Arial"/>
      <family val="2"/>
    </font>
    <font>
      <sz val="13"/>
      <name val="Arial"/>
      <family val="2"/>
    </font>
    <font>
      <sz val="10"/>
      <name val="Arial"/>
      <family val="2"/>
      <charset val="238"/>
    </font>
    <font>
      <sz val="9"/>
      <name val="Arial"/>
      <family val="2"/>
    </font>
    <font>
      <sz val="7"/>
      <name val="Arial Narrow"/>
      <family val="2"/>
    </font>
    <font>
      <sz val="9"/>
      <color indexed="63"/>
      <name val="Arial"/>
      <family val="2"/>
    </font>
    <font>
      <sz val="12"/>
      <name val="Arial"/>
      <family val="2"/>
    </font>
    <font>
      <sz val="10"/>
      <name val="Helvetica Neue"/>
      <family val="2"/>
    </font>
    <font>
      <sz val="11"/>
      <name val="Calibri"/>
      <family val="2"/>
    </font>
    <font>
      <sz val="8"/>
      <name val="Arial"/>
      <family val="2"/>
    </font>
    <font>
      <sz val="12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indexed="5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8" fillId="0" borderId="0" applyNumberFormat="0" applyFill="0" applyBorder="0" applyProtection="0">
      <alignment vertical="top" wrapText="1"/>
    </xf>
    <xf numFmtId="0" fontId="9" fillId="0" borderId="0"/>
    <xf numFmtId="0" fontId="12" fillId="0" borderId="0"/>
    <xf numFmtId="0" fontId="12" fillId="0" borderId="0"/>
    <xf numFmtId="0" fontId="12" fillId="0" borderId="0"/>
  </cellStyleXfs>
  <cellXfs count="4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wrapText="1"/>
    </xf>
    <xf numFmtId="0" fontId="3" fillId="0" borderId="0" xfId="0" applyFont="1" applyAlignment="1">
      <alignment horizontal="center" vertical="center" wrapText="1" shrinkToFit="1"/>
    </xf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0" xfId="1" applyNumberFormat="1" applyFont="1" applyFill="1" applyBorder="1" applyAlignment="1" applyProtection="1">
      <alignment horizontal="center" vertical="center" wrapText="1"/>
    </xf>
    <xf numFmtId="0" fontId="0" fillId="2" borderId="0" xfId="0" applyFill="1" applyAlignment="1">
      <alignment wrapText="1"/>
    </xf>
    <xf numFmtId="0" fontId="4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 wrapText="1"/>
    </xf>
    <xf numFmtId="0" fontId="5" fillId="2" borderId="0" xfId="0" applyFont="1" applyFill="1"/>
    <xf numFmtId="0" fontId="4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9" fillId="2" borderId="0" xfId="2" applyFill="1"/>
    <xf numFmtId="49" fontId="1" fillId="3" borderId="0" xfId="0" applyNumberFormat="1" applyFont="1" applyFill="1" applyAlignment="1">
      <alignment horizontal="left" wrapText="1"/>
    </xf>
    <xf numFmtId="49" fontId="6" fillId="2" borderId="0" xfId="0" applyNumberFormat="1" applyFont="1" applyFill="1" applyAlignment="1">
      <alignment horizontal="left"/>
    </xf>
    <xf numFmtId="2" fontId="1" fillId="2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/>
    </xf>
    <xf numFmtId="14" fontId="0" fillId="2" borderId="0" xfId="0" applyNumberFormat="1" applyFill="1" applyAlignment="1">
      <alignment wrapText="1"/>
    </xf>
    <xf numFmtId="14" fontId="4" fillId="2" borderId="0" xfId="0" applyNumberFormat="1" applyFont="1" applyFill="1"/>
    <xf numFmtId="14" fontId="0" fillId="2" borderId="0" xfId="0" applyNumberFormat="1" applyFill="1"/>
    <xf numFmtId="0" fontId="11" fillId="0" borderId="1" xfId="0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 wrapText="1"/>
    </xf>
    <xf numFmtId="165" fontId="13" fillId="0" borderId="1" xfId="0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67" fontId="11" fillId="0" borderId="1" xfId="0" applyNumberFormat="1" applyFont="1" applyBorder="1" applyAlignment="1">
      <alignment horizontal="center" vertical="center" wrapText="1"/>
    </xf>
    <xf numFmtId="167" fontId="13" fillId="0" borderId="1" xfId="0" applyNumberFormat="1" applyFont="1" applyBorder="1" applyAlignment="1">
      <alignment horizontal="center" vertical="center" wrapText="1"/>
    </xf>
    <xf numFmtId="0" fontId="11" fillId="0" borderId="1" xfId="3" applyFont="1" applyBorder="1" applyAlignment="1">
      <alignment horizontal="center" vertical="center" wrapText="1"/>
    </xf>
  </cellXfs>
  <cellStyles count="6">
    <cellStyle name="Excel Built-in Normal" xfId="1" xr:uid="{E01D1272-80CB-4BE3-A964-B4D885B93E6C}"/>
    <cellStyle name="Normal" xfId="0" builtinId="0"/>
    <cellStyle name="Normal 2" xfId="2" xr:uid="{7D0BE19F-EABE-4221-9BFF-839C94D3EC04}"/>
    <cellStyle name="Normal 2 9" xfId="5" xr:uid="{8E440630-E38B-4F21-B3F8-AE52F2EDDC71}"/>
    <cellStyle name="Normal 3 7" xfId="4" xr:uid="{09D1AC4A-7B9D-40F8-912A-8B2DB158CC3B}"/>
    <cellStyle name="Normal 6 4" xfId="3" xr:uid="{BF78F0E5-BF00-4194-9F85-E19F886CF5AD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C1C1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7</xdr:row>
      <xdr:rowOff>0</xdr:rowOff>
    </xdr:from>
    <xdr:to>
      <xdr:col>15</xdr:col>
      <xdr:colOff>0</xdr:colOff>
      <xdr:row>7</xdr:row>
      <xdr:rowOff>0</xdr:rowOff>
    </xdr:to>
    <xdr:pic>
      <xdr:nvPicPr>
        <xdr:cNvPr id="7" name="TextBox1">
          <a:extLst>
            <a:ext uri="{FF2B5EF4-FFF2-40B4-BE49-F238E27FC236}">
              <a16:creationId xmlns:a16="http://schemas.microsoft.com/office/drawing/2014/main" id="{5873D21C-2D13-45EC-ACC3-6BB8F089B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514600"/>
          <a:ext cx="18973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2354580</xdr:colOff>
      <xdr:row>7</xdr:row>
      <xdr:rowOff>0</xdr:rowOff>
    </xdr:from>
    <xdr:to>
      <xdr:col>16</xdr:col>
      <xdr:colOff>0</xdr:colOff>
      <xdr:row>7</xdr:row>
      <xdr:rowOff>0</xdr:rowOff>
    </xdr:to>
    <xdr:pic>
      <xdr:nvPicPr>
        <xdr:cNvPr id="8" name="ListBox1">
          <a:extLst>
            <a:ext uri="{FF2B5EF4-FFF2-40B4-BE49-F238E27FC236}">
              <a16:creationId xmlns:a16="http://schemas.microsoft.com/office/drawing/2014/main" id="{A2EB7E6E-2D3A-4F3B-85D8-EE7AF7A7A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514600"/>
          <a:ext cx="449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7</xdr:row>
      <xdr:rowOff>0</xdr:rowOff>
    </xdr:from>
    <xdr:to>
      <xdr:col>15</xdr:col>
      <xdr:colOff>0</xdr:colOff>
      <xdr:row>7</xdr:row>
      <xdr:rowOff>0</xdr:rowOff>
    </xdr:to>
    <xdr:pic>
      <xdr:nvPicPr>
        <xdr:cNvPr id="9" name="TextBox1">
          <a:extLst>
            <a:ext uri="{FF2B5EF4-FFF2-40B4-BE49-F238E27FC236}">
              <a16:creationId xmlns:a16="http://schemas.microsoft.com/office/drawing/2014/main" id="{92A11D48-0F45-4964-89F6-883E83C27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514600"/>
          <a:ext cx="18973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2354580</xdr:colOff>
      <xdr:row>7</xdr:row>
      <xdr:rowOff>0</xdr:rowOff>
    </xdr:from>
    <xdr:to>
      <xdr:col>16</xdr:col>
      <xdr:colOff>0</xdr:colOff>
      <xdr:row>7</xdr:row>
      <xdr:rowOff>0</xdr:rowOff>
    </xdr:to>
    <xdr:pic>
      <xdr:nvPicPr>
        <xdr:cNvPr id="10" name="ListBox1">
          <a:extLst>
            <a:ext uri="{FF2B5EF4-FFF2-40B4-BE49-F238E27FC236}">
              <a16:creationId xmlns:a16="http://schemas.microsoft.com/office/drawing/2014/main" id="{890409B9-2BCF-42D3-B792-1BDD716C5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514600"/>
          <a:ext cx="449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2354580</xdr:colOff>
      <xdr:row>4</xdr:row>
      <xdr:rowOff>0</xdr:rowOff>
    </xdr:from>
    <xdr:to>
      <xdr:col>15</xdr:col>
      <xdr:colOff>0</xdr:colOff>
      <xdr:row>4</xdr:row>
      <xdr:rowOff>0</xdr:rowOff>
    </xdr:to>
    <xdr:pic>
      <xdr:nvPicPr>
        <xdr:cNvPr id="11" name="ListBox1">
          <a:extLst>
            <a:ext uri="{FF2B5EF4-FFF2-40B4-BE49-F238E27FC236}">
              <a16:creationId xmlns:a16="http://schemas.microsoft.com/office/drawing/2014/main" id="{FE0D6EE0-8786-48ED-A384-A2A1F7CF0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1828800"/>
          <a:ext cx="18973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2369820</xdr:colOff>
      <xdr:row>7</xdr:row>
      <xdr:rowOff>0</xdr:rowOff>
    </xdr:from>
    <xdr:to>
      <xdr:col>14</xdr:col>
      <xdr:colOff>0</xdr:colOff>
      <xdr:row>7</xdr:row>
      <xdr:rowOff>0</xdr:rowOff>
    </xdr:to>
    <xdr:pic>
      <xdr:nvPicPr>
        <xdr:cNvPr id="12" name="ListBox1">
          <a:extLst>
            <a:ext uri="{FF2B5EF4-FFF2-40B4-BE49-F238E27FC236}">
              <a16:creationId xmlns:a16="http://schemas.microsoft.com/office/drawing/2014/main" id="{42F78205-5A6D-4D90-BF39-32EF9FB37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514600"/>
          <a:ext cx="25984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2369820</xdr:colOff>
      <xdr:row>7</xdr:row>
      <xdr:rowOff>0</xdr:rowOff>
    </xdr:from>
    <xdr:to>
      <xdr:col>14</xdr:col>
      <xdr:colOff>0</xdr:colOff>
      <xdr:row>7</xdr:row>
      <xdr:rowOff>0</xdr:rowOff>
    </xdr:to>
    <xdr:pic>
      <xdr:nvPicPr>
        <xdr:cNvPr id="13" name="ListBox1">
          <a:extLst>
            <a:ext uri="{FF2B5EF4-FFF2-40B4-BE49-F238E27FC236}">
              <a16:creationId xmlns:a16="http://schemas.microsoft.com/office/drawing/2014/main" id="{CD5AA446-3564-47AA-AD72-A8825A832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514600"/>
          <a:ext cx="25984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2369820</xdr:colOff>
      <xdr:row>7</xdr:row>
      <xdr:rowOff>0</xdr:rowOff>
    </xdr:from>
    <xdr:to>
      <xdr:col>15</xdr:col>
      <xdr:colOff>0</xdr:colOff>
      <xdr:row>7</xdr:row>
      <xdr:rowOff>0</xdr:rowOff>
    </xdr:to>
    <xdr:pic>
      <xdr:nvPicPr>
        <xdr:cNvPr id="14" name="ListBox1">
          <a:extLst>
            <a:ext uri="{FF2B5EF4-FFF2-40B4-BE49-F238E27FC236}">
              <a16:creationId xmlns:a16="http://schemas.microsoft.com/office/drawing/2014/main" id="{071B7493-83DB-4DEE-ADF5-BA2F6A71B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8820" y="2514600"/>
          <a:ext cx="26898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2369820</xdr:colOff>
      <xdr:row>4</xdr:row>
      <xdr:rowOff>0</xdr:rowOff>
    </xdr:from>
    <xdr:to>
      <xdr:col>15</xdr:col>
      <xdr:colOff>0</xdr:colOff>
      <xdr:row>4</xdr:row>
      <xdr:rowOff>0</xdr:rowOff>
    </xdr:to>
    <xdr:pic>
      <xdr:nvPicPr>
        <xdr:cNvPr id="15" name="ListBox1">
          <a:extLst>
            <a:ext uri="{FF2B5EF4-FFF2-40B4-BE49-F238E27FC236}">
              <a16:creationId xmlns:a16="http://schemas.microsoft.com/office/drawing/2014/main" id="{420A4B21-5D14-4705-98DE-53F3F56D6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8820" y="1828800"/>
          <a:ext cx="26898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2369820</xdr:colOff>
      <xdr:row>4</xdr:row>
      <xdr:rowOff>0</xdr:rowOff>
    </xdr:from>
    <xdr:to>
      <xdr:col>14</xdr:col>
      <xdr:colOff>0</xdr:colOff>
      <xdr:row>4</xdr:row>
      <xdr:rowOff>0</xdr:rowOff>
    </xdr:to>
    <xdr:pic>
      <xdr:nvPicPr>
        <xdr:cNvPr id="16" name="ListBox1">
          <a:extLst>
            <a:ext uri="{FF2B5EF4-FFF2-40B4-BE49-F238E27FC236}">
              <a16:creationId xmlns:a16="http://schemas.microsoft.com/office/drawing/2014/main" id="{B13C6133-6910-46A2-A3BD-C94AAA348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1828800"/>
          <a:ext cx="25984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2369820</xdr:colOff>
      <xdr:row>7</xdr:row>
      <xdr:rowOff>0</xdr:rowOff>
    </xdr:from>
    <xdr:to>
      <xdr:col>15</xdr:col>
      <xdr:colOff>0</xdr:colOff>
      <xdr:row>7</xdr:row>
      <xdr:rowOff>0</xdr:rowOff>
    </xdr:to>
    <xdr:pic>
      <xdr:nvPicPr>
        <xdr:cNvPr id="17" name="ListBox1">
          <a:extLst>
            <a:ext uri="{FF2B5EF4-FFF2-40B4-BE49-F238E27FC236}">
              <a16:creationId xmlns:a16="http://schemas.microsoft.com/office/drawing/2014/main" id="{ED77E9EF-D374-4F45-85C4-B24E9FA47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8820" y="2514600"/>
          <a:ext cx="26898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2369820</xdr:colOff>
      <xdr:row>4</xdr:row>
      <xdr:rowOff>0</xdr:rowOff>
    </xdr:from>
    <xdr:to>
      <xdr:col>15</xdr:col>
      <xdr:colOff>0</xdr:colOff>
      <xdr:row>4</xdr:row>
      <xdr:rowOff>0</xdr:rowOff>
    </xdr:to>
    <xdr:pic>
      <xdr:nvPicPr>
        <xdr:cNvPr id="18" name="ListBox1">
          <a:extLst>
            <a:ext uri="{FF2B5EF4-FFF2-40B4-BE49-F238E27FC236}">
              <a16:creationId xmlns:a16="http://schemas.microsoft.com/office/drawing/2014/main" id="{FF6BF9CD-8D86-4409-96B4-E3D8383AF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8820" y="1828800"/>
          <a:ext cx="26898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2354580</xdr:colOff>
      <xdr:row>3</xdr:row>
      <xdr:rowOff>0</xdr:rowOff>
    </xdr:from>
    <xdr:to>
      <xdr:col>7</xdr:col>
      <xdr:colOff>0</xdr:colOff>
      <xdr:row>3</xdr:row>
      <xdr:rowOff>0</xdr:rowOff>
    </xdr:to>
    <xdr:pic>
      <xdr:nvPicPr>
        <xdr:cNvPr id="2" name="ListBox1">
          <a:extLst>
            <a:ext uri="{FF2B5EF4-FFF2-40B4-BE49-F238E27FC236}">
              <a16:creationId xmlns:a16="http://schemas.microsoft.com/office/drawing/2014/main" id="{E5D8D4A9-3BAA-4AB4-A8A9-901F2FD26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" y="1988820"/>
          <a:ext cx="26212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3" name="TextBox1">
          <a:extLst>
            <a:ext uri="{FF2B5EF4-FFF2-40B4-BE49-F238E27FC236}">
              <a16:creationId xmlns:a16="http://schemas.microsoft.com/office/drawing/2014/main" id="{C10D5508-6D62-46D8-9F4A-C46CB6A77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58440"/>
          <a:ext cx="13182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4" name="TextBox1">
          <a:extLst>
            <a:ext uri="{FF2B5EF4-FFF2-40B4-BE49-F238E27FC236}">
              <a16:creationId xmlns:a16="http://schemas.microsoft.com/office/drawing/2014/main" id="{3832DD50-3608-4B2F-9B9E-D52C76ABD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58440"/>
          <a:ext cx="13182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2346960</xdr:colOff>
      <xdr:row>3</xdr:row>
      <xdr:rowOff>0</xdr:rowOff>
    </xdr:from>
    <xdr:to>
      <xdr:col>7</xdr:col>
      <xdr:colOff>0</xdr:colOff>
      <xdr:row>3</xdr:row>
      <xdr:rowOff>0</xdr:rowOff>
    </xdr:to>
    <xdr:pic>
      <xdr:nvPicPr>
        <xdr:cNvPr id="5" name="ListBox1">
          <a:extLst>
            <a:ext uri="{FF2B5EF4-FFF2-40B4-BE49-F238E27FC236}">
              <a16:creationId xmlns:a16="http://schemas.microsoft.com/office/drawing/2014/main" id="{6CCB19D4-EE49-4BCD-A0DF-760624441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" y="1988820"/>
          <a:ext cx="26212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2354580</xdr:colOff>
      <xdr:row>3</xdr:row>
      <xdr:rowOff>0</xdr:rowOff>
    </xdr:from>
    <xdr:to>
      <xdr:col>7</xdr:col>
      <xdr:colOff>0</xdr:colOff>
      <xdr:row>3</xdr:row>
      <xdr:rowOff>0</xdr:rowOff>
    </xdr:to>
    <xdr:pic>
      <xdr:nvPicPr>
        <xdr:cNvPr id="6" name="ListBox1">
          <a:extLst>
            <a:ext uri="{FF2B5EF4-FFF2-40B4-BE49-F238E27FC236}">
              <a16:creationId xmlns:a16="http://schemas.microsoft.com/office/drawing/2014/main" id="{41AFBB8A-A83F-436A-8864-EEAA2023E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" y="1988820"/>
          <a:ext cx="26212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19" name="TextBox1">
          <a:extLst>
            <a:ext uri="{FF2B5EF4-FFF2-40B4-BE49-F238E27FC236}">
              <a16:creationId xmlns:a16="http://schemas.microsoft.com/office/drawing/2014/main" id="{889C10DE-481E-415B-B45A-F3CB36D83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58440"/>
          <a:ext cx="13182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20" name="TextBox1">
          <a:extLst>
            <a:ext uri="{FF2B5EF4-FFF2-40B4-BE49-F238E27FC236}">
              <a16:creationId xmlns:a16="http://schemas.microsoft.com/office/drawing/2014/main" id="{10169FC7-5145-4A6B-8EA0-247366325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58440"/>
          <a:ext cx="13182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2346960</xdr:colOff>
      <xdr:row>3</xdr:row>
      <xdr:rowOff>0</xdr:rowOff>
    </xdr:from>
    <xdr:to>
      <xdr:col>7</xdr:col>
      <xdr:colOff>0</xdr:colOff>
      <xdr:row>3</xdr:row>
      <xdr:rowOff>0</xdr:rowOff>
    </xdr:to>
    <xdr:pic>
      <xdr:nvPicPr>
        <xdr:cNvPr id="21" name="ListBox1">
          <a:extLst>
            <a:ext uri="{FF2B5EF4-FFF2-40B4-BE49-F238E27FC236}">
              <a16:creationId xmlns:a16="http://schemas.microsoft.com/office/drawing/2014/main" id="{4C9DE1AC-57B6-43BD-ACE7-90F832B88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" y="1988820"/>
          <a:ext cx="26212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2354580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28" name="ListBox1">
          <a:extLst>
            <a:ext uri="{FF2B5EF4-FFF2-40B4-BE49-F238E27FC236}">
              <a16:creationId xmlns:a16="http://schemas.microsoft.com/office/drawing/2014/main" id="{19DBC6C9-2CD8-402C-A40B-BE70156B5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" y="1988820"/>
          <a:ext cx="26212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2346960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29" name="ListBox1">
          <a:extLst>
            <a:ext uri="{FF2B5EF4-FFF2-40B4-BE49-F238E27FC236}">
              <a16:creationId xmlns:a16="http://schemas.microsoft.com/office/drawing/2014/main" id="{B3ABDD39-FA80-40B8-9FF1-AEB48E0B8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" y="1988820"/>
          <a:ext cx="26212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2354580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30" name="ListBox1">
          <a:extLst>
            <a:ext uri="{FF2B5EF4-FFF2-40B4-BE49-F238E27FC236}">
              <a16:creationId xmlns:a16="http://schemas.microsoft.com/office/drawing/2014/main" id="{A9D11B4D-393F-4E8A-B4E7-823FB2DC1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" y="1988820"/>
          <a:ext cx="26212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2346960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31" name="ListBox1">
          <a:extLst>
            <a:ext uri="{FF2B5EF4-FFF2-40B4-BE49-F238E27FC236}">
              <a16:creationId xmlns:a16="http://schemas.microsoft.com/office/drawing/2014/main" id="{210D13CA-1D9B-406E-AFB8-34454E46F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" y="1988820"/>
          <a:ext cx="26212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2369820</xdr:colOff>
      <xdr:row>7</xdr:row>
      <xdr:rowOff>0</xdr:rowOff>
    </xdr:from>
    <xdr:to>
      <xdr:col>15</xdr:col>
      <xdr:colOff>0</xdr:colOff>
      <xdr:row>7</xdr:row>
      <xdr:rowOff>0</xdr:rowOff>
    </xdr:to>
    <xdr:pic>
      <xdr:nvPicPr>
        <xdr:cNvPr id="32" name="ListBox1">
          <a:extLst>
            <a:ext uri="{FF2B5EF4-FFF2-40B4-BE49-F238E27FC236}">
              <a16:creationId xmlns:a16="http://schemas.microsoft.com/office/drawing/2014/main" id="{9DEDE1FE-E75B-4440-AEF0-711C24BA4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" y="3550920"/>
          <a:ext cx="13030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2369820</xdr:colOff>
      <xdr:row>4</xdr:row>
      <xdr:rowOff>0</xdr:rowOff>
    </xdr:from>
    <xdr:to>
      <xdr:col>15</xdr:col>
      <xdr:colOff>0</xdr:colOff>
      <xdr:row>4</xdr:row>
      <xdr:rowOff>0</xdr:rowOff>
    </xdr:to>
    <xdr:pic>
      <xdr:nvPicPr>
        <xdr:cNvPr id="33" name="ListBox1">
          <a:extLst>
            <a:ext uri="{FF2B5EF4-FFF2-40B4-BE49-F238E27FC236}">
              <a16:creationId xmlns:a16="http://schemas.microsoft.com/office/drawing/2014/main" id="{958F08D4-3B77-4664-B2C7-C3074A8DD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" y="2362200"/>
          <a:ext cx="13030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2457450</xdr:colOff>
      <xdr:row>3</xdr:row>
      <xdr:rowOff>0</xdr:rowOff>
    </xdr:from>
    <xdr:to>
      <xdr:col>7</xdr:col>
      <xdr:colOff>0</xdr:colOff>
      <xdr:row>3</xdr:row>
      <xdr:rowOff>0</xdr:rowOff>
    </xdr:to>
    <xdr:pic>
      <xdr:nvPicPr>
        <xdr:cNvPr id="22" name="ListBox1">
          <a:extLst>
            <a:ext uri="{FF2B5EF4-FFF2-40B4-BE49-F238E27FC236}">
              <a16:creationId xmlns:a16="http://schemas.microsoft.com/office/drawing/2014/main" id="{7E1538CF-B4B3-426D-BD2B-DAE9C2FC5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1" y="1966913"/>
          <a:ext cx="277653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23" name="TextBox1">
          <a:extLst>
            <a:ext uri="{FF2B5EF4-FFF2-40B4-BE49-F238E27FC236}">
              <a16:creationId xmlns:a16="http://schemas.microsoft.com/office/drawing/2014/main" id="{81A8DA1E-FD3B-4BB9-8F0E-F7EC33CD2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9438" y="2733675"/>
          <a:ext cx="1447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24" name="TextBox1">
          <a:extLst>
            <a:ext uri="{FF2B5EF4-FFF2-40B4-BE49-F238E27FC236}">
              <a16:creationId xmlns:a16="http://schemas.microsoft.com/office/drawing/2014/main" id="{0BE69371-00A8-4697-863E-51B614FE2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9438" y="2733675"/>
          <a:ext cx="1447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2447925</xdr:colOff>
      <xdr:row>3</xdr:row>
      <xdr:rowOff>0</xdr:rowOff>
    </xdr:from>
    <xdr:to>
      <xdr:col>7</xdr:col>
      <xdr:colOff>0</xdr:colOff>
      <xdr:row>3</xdr:row>
      <xdr:rowOff>0</xdr:rowOff>
    </xdr:to>
    <xdr:pic>
      <xdr:nvPicPr>
        <xdr:cNvPr id="25" name="ListBox1">
          <a:extLst>
            <a:ext uri="{FF2B5EF4-FFF2-40B4-BE49-F238E27FC236}">
              <a16:creationId xmlns:a16="http://schemas.microsoft.com/office/drawing/2014/main" id="{7683C079-F2AD-4DB0-9E48-401C14EFF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1" y="1966913"/>
          <a:ext cx="277653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2457450</xdr:colOff>
      <xdr:row>3</xdr:row>
      <xdr:rowOff>0</xdr:rowOff>
    </xdr:from>
    <xdr:to>
      <xdr:col>7</xdr:col>
      <xdr:colOff>0</xdr:colOff>
      <xdr:row>3</xdr:row>
      <xdr:rowOff>0</xdr:rowOff>
    </xdr:to>
    <xdr:pic>
      <xdr:nvPicPr>
        <xdr:cNvPr id="26" name="ListBox1">
          <a:extLst>
            <a:ext uri="{FF2B5EF4-FFF2-40B4-BE49-F238E27FC236}">
              <a16:creationId xmlns:a16="http://schemas.microsoft.com/office/drawing/2014/main" id="{A3C4D955-1BC2-4891-ABF9-183C2908D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1" y="1966913"/>
          <a:ext cx="277653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27" name="TextBox1">
          <a:extLst>
            <a:ext uri="{FF2B5EF4-FFF2-40B4-BE49-F238E27FC236}">
              <a16:creationId xmlns:a16="http://schemas.microsoft.com/office/drawing/2014/main" id="{EF07628F-CBFE-4C77-9956-FA3CACBD5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9438" y="2733675"/>
          <a:ext cx="1447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34" name="TextBox1">
          <a:extLst>
            <a:ext uri="{FF2B5EF4-FFF2-40B4-BE49-F238E27FC236}">
              <a16:creationId xmlns:a16="http://schemas.microsoft.com/office/drawing/2014/main" id="{D6DB9669-4FE6-4B9C-A3C4-B2A1FA2B9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9438" y="2733675"/>
          <a:ext cx="1447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2447925</xdr:colOff>
      <xdr:row>3</xdr:row>
      <xdr:rowOff>0</xdr:rowOff>
    </xdr:from>
    <xdr:to>
      <xdr:col>7</xdr:col>
      <xdr:colOff>0</xdr:colOff>
      <xdr:row>3</xdr:row>
      <xdr:rowOff>0</xdr:rowOff>
    </xdr:to>
    <xdr:pic>
      <xdr:nvPicPr>
        <xdr:cNvPr id="35" name="ListBox1">
          <a:extLst>
            <a:ext uri="{FF2B5EF4-FFF2-40B4-BE49-F238E27FC236}">
              <a16:creationId xmlns:a16="http://schemas.microsoft.com/office/drawing/2014/main" id="{75E4D3B7-25FF-49A5-A905-516ADA918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1" y="1966913"/>
          <a:ext cx="277653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2471738</xdr:colOff>
      <xdr:row>3</xdr:row>
      <xdr:rowOff>0</xdr:rowOff>
    </xdr:from>
    <xdr:to>
      <xdr:col>9</xdr:col>
      <xdr:colOff>0</xdr:colOff>
      <xdr:row>3</xdr:row>
      <xdr:rowOff>0</xdr:rowOff>
    </xdr:to>
    <xdr:pic>
      <xdr:nvPicPr>
        <xdr:cNvPr id="38" name="ListBox1">
          <a:extLst>
            <a:ext uri="{FF2B5EF4-FFF2-40B4-BE49-F238E27FC236}">
              <a16:creationId xmlns:a16="http://schemas.microsoft.com/office/drawing/2014/main" id="{CC822782-DFFB-4B97-A000-21D10B388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7238" y="1966913"/>
          <a:ext cx="179546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2471738</xdr:colOff>
      <xdr:row>3</xdr:row>
      <xdr:rowOff>0</xdr:rowOff>
    </xdr:from>
    <xdr:to>
      <xdr:col>9</xdr:col>
      <xdr:colOff>0</xdr:colOff>
      <xdr:row>3</xdr:row>
      <xdr:rowOff>0</xdr:rowOff>
    </xdr:to>
    <xdr:pic>
      <xdr:nvPicPr>
        <xdr:cNvPr id="39" name="ListBox1">
          <a:extLst>
            <a:ext uri="{FF2B5EF4-FFF2-40B4-BE49-F238E27FC236}">
              <a16:creationId xmlns:a16="http://schemas.microsoft.com/office/drawing/2014/main" id="{23B5F2C2-848B-4CB4-850D-52FDEE0CA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7238" y="1966913"/>
          <a:ext cx="179546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2457450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40" name="ListBox1">
          <a:extLst>
            <a:ext uri="{FF2B5EF4-FFF2-40B4-BE49-F238E27FC236}">
              <a16:creationId xmlns:a16="http://schemas.microsoft.com/office/drawing/2014/main" id="{66CDD3DA-17E2-4C67-B0A8-6A8B35FE6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1" y="1966913"/>
          <a:ext cx="277653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2447925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41" name="ListBox1">
          <a:extLst>
            <a:ext uri="{FF2B5EF4-FFF2-40B4-BE49-F238E27FC236}">
              <a16:creationId xmlns:a16="http://schemas.microsoft.com/office/drawing/2014/main" id="{DDB3A7C6-6AEE-4788-B202-792A88993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1" y="1966913"/>
          <a:ext cx="277653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2419350</xdr:colOff>
      <xdr:row>6</xdr:row>
      <xdr:rowOff>0</xdr:rowOff>
    </xdr:from>
    <xdr:to>
      <xdr:col>16</xdr:col>
      <xdr:colOff>0</xdr:colOff>
      <xdr:row>6</xdr:row>
      <xdr:rowOff>0</xdr:rowOff>
    </xdr:to>
    <xdr:pic>
      <xdr:nvPicPr>
        <xdr:cNvPr id="42" name="ListBox1">
          <a:extLst>
            <a:ext uri="{FF2B5EF4-FFF2-40B4-BE49-F238E27FC236}">
              <a16:creationId xmlns:a16="http://schemas.microsoft.com/office/drawing/2014/main" id="{9B355DAB-BBEE-48E7-AA4E-9F498F3D8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3" y="3133725"/>
          <a:ext cx="4105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2419350</xdr:colOff>
      <xdr:row>6</xdr:row>
      <xdr:rowOff>0</xdr:rowOff>
    </xdr:from>
    <xdr:to>
      <xdr:col>16</xdr:col>
      <xdr:colOff>0</xdr:colOff>
      <xdr:row>6</xdr:row>
      <xdr:rowOff>0</xdr:rowOff>
    </xdr:to>
    <xdr:pic>
      <xdr:nvPicPr>
        <xdr:cNvPr id="43" name="ListBox1">
          <a:extLst>
            <a:ext uri="{FF2B5EF4-FFF2-40B4-BE49-F238E27FC236}">
              <a16:creationId xmlns:a16="http://schemas.microsoft.com/office/drawing/2014/main" id="{9FD571D1-8FC4-4E1C-B973-7DF8B58FA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3" y="3133725"/>
          <a:ext cx="4105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2457450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44" name="ListBox1">
          <a:extLst>
            <a:ext uri="{FF2B5EF4-FFF2-40B4-BE49-F238E27FC236}">
              <a16:creationId xmlns:a16="http://schemas.microsoft.com/office/drawing/2014/main" id="{FACBBF80-D3BB-4B95-A08A-0F1AC435C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1" y="1966913"/>
          <a:ext cx="277653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2447925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45" name="ListBox1">
          <a:extLst>
            <a:ext uri="{FF2B5EF4-FFF2-40B4-BE49-F238E27FC236}">
              <a16:creationId xmlns:a16="http://schemas.microsoft.com/office/drawing/2014/main" id="{CD32C3B0-5A64-4BD9-8A7D-24EB37122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1" y="1966913"/>
          <a:ext cx="277653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2471738</xdr:colOff>
      <xdr:row>7</xdr:row>
      <xdr:rowOff>0</xdr:rowOff>
    </xdr:from>
    <xdr:to>
      <xdr:col>15</xdr:col>
      <xdr:colOff>0</xdr:colOff>
      <xdr:row>7</xdr:row>
      <xdr:rowOff>0</xdr:rowOff>
    </xdr:to>
    <xdr:pic>
      <xdr:nvPicPr>
        <xdr:cNvPr id="46" name="ListBox1">
          <a:extLst>
            <a:ext uri="{FF2B5EF4-FFF2-40B4-BE49-F238E27FC236}">
              <a16:creationId xmlns:a16="http://schemas.microsoft.com/office/drawing/2014/main" id="{3DE257EC-4C79-423F-B665-0B53975A0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1" y="3533775"/>
          <a:ext cx="132873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2471738</xdr:colOff>
      <xdr:row>4</xdr:row>
      <xdr:rowOff>0</xdr:rowOff>
    </xdr:from>
    <xdr:to>
      <xdr:col>15</xdr:col>
      <xdr:colOff>0</xdr:colOff>
      <xdr:row>4</xdr:row>
      <xdr:rowOff>0</xdr:rowOff>
    </xdr:to>
    <xdr:pic>
      <xdr:nvPicPr>
        <xdr:cNvPr id="47" name="ListBox1">
          <a:extLst>
            <a:ext uri="{FF2B5EF4-FFF2-40B4-BE49-F238E27FC236}">
              <a16:creationId xmlns:a16="http://schemas.microsoft.com/office/drawing/2014/main" id="{C2C6ABBA-FBA0-4C9D-8213-53556EE64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1" y="2333625"/>
          <a:ext cx="132873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2457450</xdr:colOff>
      <xdr:row>3</xdr:row>
      <xdr:rowOff>0</xdr:rowOff>
    </xdr:from>
    <xdr:to>
      <xdr:col>7</xdr:col>
      <xdr:colOff>0</xdr:colOff>
      <xdr:row>3</xdr:row>
      <xdr:rowOff>0</xdr:rowOff>
    </xdr:to>
    <xdr:pic>
      <xdr:nvPicPr>
        <xdr:cNvPr id="36" name="ListBox1">
          <a:extLst>
            <a:ext uri="{FF2B5EF4-FFF2-40B4-BE49-F238E27FC236}">
              <a16:creationId xmlns:a16="http://schemas.microsoft.com/office/drawing/2014/main" id="{E62374B7-1F96-4130-8578-9C60952B1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3088" y="1966913"/>
          <a:ext cx="2752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37" name="TextBox1">
          <a:extLst>
            <a:ext uri="{FF2B5EF4-FFF2-40B4-BE49-F238E27FC236}">
              <a16:creationId xmlns:a16="http://schemas.microsoft.com/office/drawing/2014/main" id="{9129A46A-3CB1-448D-98A8-A0CD430A0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6588" y="2581275"/>
          <a:ext cx="14192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48" name="TextBox1">
          <a:extLst>
            <a:ext uri="{FF2B5EF4-FFF2-40B4-BE49-F238E27FC236}">
              <a16:creationId xmlns:a16="http://schemas.microsoft.com/office/drawing/2014/main" id="{F1193B43-0184-44E3-9C11-56E2F7741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6588" y="2581275"/>
          <a:ext cx="14192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2447925</xdr:colOff>
      <xdr:row>3</xdr:row>
      <xdr:rowOff>0</xdr:rowOff>
    </xdr:from>
    <xdr:to>
      <xdr:col>7</xdr:col>
      <xdr:colOff>0</xdr:colOff>
      <xdr:row>3</xdr:row>
      <xdr:rowOff>0</xdr:rowOff>
    </xdr:to>
    <xdr:pic>
      <xdr:nvPicPr>
        <xdr:cNvPr id="49" name="ListBox1">
          <a:extLst>
            <a:ext uri="{FF2B5EF4-FFF2-40B4-BE49-F238E27FC236}">
              <a16:creationId xmlns:a16="http://schemas.microsoft.com/office/drawing/2014/main" id="{35F83A3F-0B08-4B62-A341-52220E35F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3088" y="1966913"/>
          <a:ext cx="2752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2457450</xdr:colOff>
      <xdr:row>3</xdr:row>
      <xdr:rowOff>0</xdr:rowOff>
    </xdr:from>
    <xdr:to>
      <xdr:col>7</xdr:col>
      <xdr:colOff>0</xdr:colOff>
      <xdr:row>3</xdr:row>
      <xdr:rowOff>0</xdr:rowOff>
    </xdr:to>
    <xdr:pic>
      <xdr:nvPicPr>
        <xdr:cNvPr id="50" name="ListBox1">
          <a:extLst>
            <a:ext uri="{FF2B5EF4-FFF2-40B4-BE49-F238E27FC236}">
              <a16:creationId xmlns:a16="http://schemas.microsoft.com/office/drawing/2014/main" id="{53FF0C48-5A7F-42D7-89AC-F23273544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3088" y="1966913"/>
          <a:ext cx="2752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51" name="TextBox1">
          <a:extLst>
            <a:ext uri="{FF2B5EF4-FFF2-40B4-BE49-F238E27FC236}">
              <a16:creationId xmlns:a16="http://schemas.microsoft.com/office/drawing/2014/main" id="{8F68EF3C-34A6-410F-9F91-7EC178691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6588" y="2581275"/>
          <a:ext cx="14192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52" name="TextBox1">
          <a:extLst>
            <a:ext uri="{FF2B5EF4-FFF2-40B4-BE49-F238E27FC236}">
              <a16:creationId xmlns:a16="http://schemas.microsoft.com/office/drawing/2014/main" id="{76EF9F26-1351-49C5-BC86-F981DF129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6588" y="2581275"/>
          <a:ext cx="14192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2447925</xdr:colOff>
      <xdr:row>3</xdr:row>
      <xdr:rowOff>0</xdr:rowOff>
    </xdr:from>
    <xdr:to>
      <xdr:col>7</xdr:col>
      <xdr:colOff>0</xdr:colOff>
      <xdr:row>3</xdr:row>
      <xdr:rowOff>0</xdr:rowOff>
    </xdr:to>
    <xdr:pic>
      <xdr:nvPicPr>
        <xdr:cNvPr id="53" name="ListBox1">
          <a:extLst>
            <a:ext uri="{FF2B5EF4-FFF2-40B4-BE49-F238E27FC236}">
              <a16:creationId xmlns:a16="http://schemas.microsoft.com/office/drawing/2014/main" id="{46A938B1-DE0E-4B6D-A071-E5DAE0E23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3088" y="1966913"/>
          <a:ext cx="2752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2471738</xdr:colOff>
      <xdr:row>3</xdr:row>
      <xdr:rowOff>0</xdr:rowOff>
    </xdr:from>
    <xdr:to>
      <xdr:col>9</xdr:col>
      <xdr:colOff>0</xdr:colOff>
      <xdr:row>3</xdr:row>
      <xdr:rowOff>0</xdr:rowOff>
    </xdr:to>
    <xdr:pic>
      <xdr:nvPicPr>
        <xdr:cNvPr id="54" name="ListBox1">
          <a:extLst>
            <a:ext uri="{FF2B5EF4-FFF2-40B4-BE49-F238E27FC236}">
              <a16:creationId xmlns:a16="http://schemas.microsoft.com/office/drawing/2014/main" id="{026474CA-1663-45DB-A889-89806FE69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5813" y="1966913"/>
          <a:ext cx="172878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2471738</xdr:colOff>
      <xdr:row>3</xdr:row>
      <xdr:rowOff>0</xdr:rowOff>
    </xdr:from>
    <xdr:to>
      <xdr:col>9</xdr:col>
      <xdr:colOff>0</xdr:colOff>
      <xdr:row>3</xdr:row>
      <xdr:rowOff>0</xdr:rowOff>
    </xdr:to>
    <xdr:pic>
      <xdr:nvPicPr>
        <xdr:cNvPr id="55" name="ListBox1">
          <a:extLst>
            <a:ext uri="{FF2B5EF4-FFF2-40B4-BE49-F238E27FC236}">
              <a16:creationId xmlns:a16="http://schemas.microsoft.com/office/drawing/2014/main" id="{0A6F1D7F-C9C7-41BF-8FAF-9CDA05D5D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5813" y="1966913"/>
          <a:ext cx="172878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2457450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56" name="ListBox1">
          <a:extLst>
            <a:ext uri="{FF2B5EF4-FFF2-40B4-BE49-F238E27FC236}">
              <a16:creationId xmlns:a16="http://schemas.microsoft.com/office/drawing/2014/main" id="{0B922BA9-529C-4C33-B48A-25D3A264D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3088" y="1966913"/>
          <a:ext cx="2752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2447925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57" name="ListBox1">
          <a:extLst>
            <a:ext uri="{FF2B5EF4-FFF2-40B4-BE49-F238E27FC236}">
              <a16:creationId xmlns:a16="http://schemas.microsoft.com/office/drawing/2014/main" id="{12CFCF70-B61A-4DC7-BDD2-58D8CBEB5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3088" y="1966913"/>
          <a:ext cx="2752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2419350</xdr:colOff>
      <xdr:row>6</xdr:row>
      <xdr:rowOff>0</xdr:rowOff>
    </xdr:from>
    <xdr:to>
      <xdr:col>16</xdr:col>
      <xdr:colOff>0</xdr:colOff>
      <xdr:row>6</xdr:row>
      <xdr:rowOff>0</xdr:rowOff>
    </xdr:to>
    <xdr:pic>
      <xdr:nvPicPr>
        <xdr:cNvPr id="58" name="ListBox1">
          <a:extLst>
            <a:ext uri="{FF2B5EF4-FFF2-40B4-BE49-F238E27FC236}">
              <a16:creationId xmlns:a16="http://schemas.microsoft.com/office/drawing/2014/main" id="{3C499C4A-5015-430A-9C4C-F3DC9375D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2981325"/>
          <a:ext cx="412908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2419350</xdr:colOff>
      <xdr:row>6</xdr:row>
      <xdr:rowOff>0</xdr:rowOff>
    </xdr:from>
    <xdr:to>
      <xdr:col>16</xdr:col>
      <xdr:colOff>0</xdr:colOff>
      <xdr:row>6</xdr:row>
      <xdr:rowOff>0</xdr:rowOff>
    </xdr:to>
    <xdr:pic>
      <xdr:nvPicPr>
        <xdr:cNvPr id="59" name="ListBox1">
          <a:extLst>
            <a:ext uri="{FF2B5EF4-FFF2-40B4-BE49-F238E27FC236}">
              <a16:creationId xmlns:a16="http://schemas.microsoft.com/office/drawing/2014/main" id="{96D3CF70-7CC9-468A-8C07-024AF4463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2981325"/>
          <a:ext cx="412908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2457450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60" name="ListBox1">
          <a:extLst>
            <a:ext uri="{FF2B5EF4-FFF2-40B4-BE49-F238E27FC236}">
              <a16:creationId xmlns:a16="http://schemas.microsoft.com/office/drawing/2014/main" id="{CBF7A1CB-3202-4611-9E35-404AA4E0D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3088" y="1966913"/>
          <a:ext cx="2752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2447925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61" name="ListBox1">
          <a:extLst>
            <a:ext uri="{FF2B5EF4-FFF2-40B4-BE49-F238E27FC236}">
              <a16:creationId xmlns:a16="http://schemas.microsoft.com/office/drawing/2014/main" id="{7FCF65B9-C93C-4D58-B7B9-34397F420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3088" y="1966913"/>
          <a:ext cx="2752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2471738</xdr:colOff>
      <xdr:row>7</xdr:row>
      <xdr:rowOff>0</xdr:rowOff>
    </xdr:from>
    <xdr:to>
      <xdr:col>15</xdr:col>
      <xdr:colOff>0</xdr:colOff>
      <xdr:row>7</xdr:row>
      <xdr:rowOff>0</xdr:rowOff>
    </xdr:to>
    <xdr:pic>
      <xdr:nvPicPr>
        <xdr:cNvPr id="62" name="ListBox1">
          <a:extLst>
            <a:ext uri="{FF2B5EF4-FFF2-40B4-BE49-F238E27FC236}">
              <a16:creationId xmlns:a16="http://schemas.microsoft.com/office/drawing/2014/main" id="{3068090F-A94F-4D9F-8048-5107A76F2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3088" y="3381375"/>
          <a:ext cx="1333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2471738</xdr:colOff>
      <xdr:row>4</xdr:row>
      <xdr:rowOff>0</xdr:rowOff>
    </xdr:from>
    <xdr:to>
      <xdr:col>15</xdr:col>
      <xdr:colOff>0</xdr:colOff>
      <xdr:row>4</xdr:row>
      <xdr:rowOff>0</xdr:rowOff>
    </xdr:to>
    <xdr:pic>
      <xdr:nvPicPr>
        <xdr:cNvPr id="63" name="ListBox1">
          <a:extLst>
            <a:ext uri="{FF2B5EF4-FFF2-40B4-BE49-F238E27FC236}">
              <a16:creationId xmlns:a16="http://schemas.microsoft.com/office/drawing/2014/main" id="{F98735AE-6EEF-41AB-BBA8-62395C8A1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3088" y="2181225"/>
          <a:ext cx="1333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2457450</xdr:colOff>
      <xdr:row>3</xdr:row>
      <xdr:rowOff>0</xdr:rowOff>
    </xdr:from>
    <xdr:to>
      <xdr:col>7</xdr:col>
      <xdr:colOff>0</xdr:colOff>
      <xdr:row>3</xdr:row>
      <xdr:rowOff>0</xdr:rowOff>
    </xdr:to>
    <xdr:pic>
      <xdr:nvPicPr>
        <xdr:cNvPr id="64" name="ListBox1">
          <a:extLst>
            <a:ext uri="{FF2B5EF4-FFF2-40B4-BE49-F238E27FC236}">
              <a16:creationId xmlns:a16="http://schemas.microsoft.com/office/drawing/2014/main" id="{5AFCD22D-E6E4-4E36-952F-4F7232741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1" y="1971675"/>
          <a:ext cx="237648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65" name="TextBox1">
          <a:extLst>
            <a:ext uri="{FF2B5EF4-FFF2-40B4-BE49-F238E27FC236}">
              <a16:creationId xmlns:a16="http://schemas.microsoft.com/office/drawing/2014/main" id="{1A161DE0-B737-47B5-AC4C-3AA248842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763" y="2824163"/>
          <a:ext cx="1247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66" name="TextBox1">
          <a:extLst>
            <a:ext uri="{FF2B5EF4-FFF2-40B4-BE49-F238E27FC236}">
              <a16:creationId xmlns:a16="http://schemas.microsoft.com/office/drawing/2014/main" id="{3900E76B-926F-43DF-B6A0-C01B676EA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763" y="2824163"/>
          <a:ext cx="1247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2447925</xdr:colOff>
      <xdr:row>3</xdr:row>
      <xdr:rowOff>0</xdr:rowOff>
    </xdr:from>
    <xdr:to>
      <xdr:col>7</xdr:col>
      <xdr:colOff>0</xdr:colOff>
      <xdr:row>3</xdr:row>
      <xdr:rowOff>0</xdr:rowOff>
    </xdr:to>
    <xdr:pic>
      <xdr:nvPicPr>
        <xdr:cNvPr id="67" name="ListBox1">
          <a:extLst>
            <a:ext uri="{FF2B5EF4-FFF2-40B4-BE49-F238E27FC236}">
              <a16:creationId xmlns:a16="http://schemas.microsoft.com/office/drawing/2014/main" id="{2EC7A93E-50F2-4DEE-8152-4965D6209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1" y="1971675"/>
          <a:ext cx="237648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2457450</xdr:colOff>
      <xdr:row>3</xdr:row>
      <xdr:rowOff>0</xdr:rowOff>
    </xdr:from>
    <xdr:to>
      <xdr:col>7</xdr:col>
      <xdr:colOff>0</xdr:colOff>
      <xdr:row>3</xdr:row>
      <xdr:rowOff>0</xdr:rowOff>
    </xdr:to>
    <xdr:pic>
      <xdr:nvPicPr>
        <xdr:cNvPr id="68" name="ListBox1">
          <a:extLst>
            <a:ext uri="{FF2B5EF4-FFF2-40B4-BE49-F238E27FC236}">
              <a16:creationId xmlns:a16="http://schemas.microsoft.com/office/drawing/2014/main" id="{76BA4C28-8640-4ADC-A3AC-1E57811E9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1" y="1971675"/>
          <a:ext cx="237648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69" name="TextBox1">
          <a:extLst>
            <a:ext uri="{FF2B5EF4-FFF2-40B4-BE49-F238E27FC236}">
              <a16:creationId xmlns:a16="http://schemas.microsoft.com/office/drawing/2014/main" id="{F53FBA7B-C471-4A45-8B02-7DEBD43CF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763" y="2824163"/>
          <a:ext cx="1247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70" name="TextBox1">
          <a:extLst>
            <a:ext uri="{FF2B5EF4-FFF2-40B4-BE49-F238E27FC236}">
              <a16:creationId xmlns:a16="http://schemas.microsoft.com/office/drawing/2014/main" id="{FDCED708-B203-4899-A226-45B7C0F56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763" y="2824163"/>
          <a:ext cx="1247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211932</xdr:colOff>
      <xdr:row>2</xdr:row>
      <xdr:rowOff>142875</xdr:rowOff>
    </xdr:from>
    <xdr:to>
      <xdr:col>7</xdr:col>
      <xdr:colOff>214313</xdr:colOff>
      <xdr:row>2</xdr:row>
      <xdr:rowOff>142875</xdr:rowOff>
    </xdr:to>
    <xdr:pic>
      <xdr:nvPicPr>
        <xdr:cNvPr id="71" name="ListBox1">
          <a:extLst>
            <a:ext uri="{FF2B5EF4-FFF2-40B4-BE49-F238E27FC236}">
              <a16:creationId xmlns:a16="http://schemas.microsoft.com/office/drawing/2014/main" id="{47C9D0B2-0294-42C0-90A4-C2BD36E6F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3432" y="887016"/>
          <a:ext cx="207406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2471738</xdr:colOff>
      <xdr:row>3</xdr:row>
      <xdr:rowOff>0</xdr:rowOff>
    </xdr:from>
    <xdr:to>
      <xdr:col>9</xdr:col>
      <xdr:colOff>0</xdr:colOff>
      <xdr:row>3</xdr:row>
      <xdr:rowOff>0</xdr:rowOff>
    </xdr:to>
    <xdr:pic>
      <xdr:nvPicPr>
        <xdr:cNvPr id="72" name="ListBox1">
          <a:extLst>
            <a:ext uri="{FF2B5EF4-FFF2-40B4-BE49-F238E27FC236}">
              <a16:creationId xmlns:a16="http://schemas.microsoft.com/office/drawing/2014/main" id="{A00BA92D-C373-428B-9AD1-F1FE00C8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9538" y="1971675"/>
          <a:ext cx="1600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2471738</xdr:colOff>
      <xdr:row>3</xdr:row>
      <xdr:rowOff>0</xdr:rowOff>
    </xdr:from>
    <xdr:to>
      <xdr:col>9</xdr:col>
      <xdr:colOff>0</xdr:colOff>
      <xdr:row>3</xdr:row>
      <xdr:rowOff>0</xdr:rowOff>
    </xdr:to>
    <xdr:pic>
      <xdr:nvPicPr>
        <xdr:cNvPr id="73" name="ListBox1">
          <a:extLst>
            <a:ext uri="{FF2B5EF4-FFF2-40B4-BE49-F238E27FC236}">
              <a16:creationId xmlns:a16="http://schemas.microsoft.com/office/drawing/2014/main" id="{7C4F6AB8-04C5-4811-99AE-7D557FE7D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9538" y="1971675"/>
          <a:ext cx="1600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2457450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74" name="ListBox1">
          <a:extLst>
            <a:ext uri="{FF2B5EF4-FFF2-40B4-BE49-F238E27FC236}">
              <a16:creationId xmlns:a16="http://schemas.microsoft.com/office/drawing/2014/main" id="{C15C0ADB-6FC7-4375-AB4A-459492AAC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1" y="1971675"/>
          <a:ext cx="237648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2447925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75" name="ListBox1">
          <a:extLst>
            <a:ext uri="{FF2B5EF4-FFF2-40B4-BE49-F238E27FC236}">
              <a16:creationId xmlns:a16="http://schemas.microsoft.com/office/drawing/2014/main" id="{EECEAF03-93FD-47C2-9B4C-45B44D2BB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1" y="1971675"/>
          <a:ext cx="237648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2419350</xdr:colOff>
      <xdr:row>6</xdr:row>
      <xdr:rowOff>0</xdr:rowOff>
    </xdr:from>
    <xdr:to>
      <xdr:col>16</xdr:col>
      <xdr:colOff>0</xdr:colOff>
      <xdr:row>6</xdr:row>
      <xdr:rowOff>0</xdr:rowOff>
    </xdr:to>
    <xdr:pic>
      <xdr:nvPicPr>
        <xdr:cNvPr id="76" name="ListBox1">
          <a:extLst>
            <a:ext uri="{FF2B5EF4-FFF2-40B4-BE49-F238E27FC236}">
              <a16:creationId xmlns:a16="http://schemas.microsoft.com/office/drawing/2014/main" id="{35BA95C5-84A9-4950-BDEF-C2C2FBF86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3" y="3224213"/>
          <a:ext cx="3476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2419350</xdr:colOff>
      <xdr:row>6</xdr:row>
      <xdr:rowOff>0</xdr:rowOff>
    </xdr:from>
    <xdr:to>
      <xdr:col>16</xdr:col>
      <xdr:colOff>0</xdr:colOff>
      <xdr:row>6</xdr:row>
      <xdr:rowOff>0</xdr:rowOff>
    </xdr:to>
    <xdr:pic>
      <xdr:nvPicPr>
        <xdr:cNvPr id="77" name="ListBox1">
          <a:extLst>
            <a:ext uri="{FF2B5EF4-FFF2-40B4-BE49-F238E27FC236}">
              <a16:creationId xmlns:a16="http://schemas.microsoft.com/office/drawing/2014/main" id="{8380D328-A379-4D10-BEF7-BAB33879C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3" y="3224213"/>
          <a:ext cx="3476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2457450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78" name="ListBox1">
          <a:extLst>
            <a:ext uri="{FF2B5EF4-FFF2-40B4-BE49-F238E27FC236}">
              <a16:creationId xmlns:a16="http://schemas.microsoft.com/office/drawing/2014/main" id="{F8F025B8-676A-429F-8FBB-DB3EE2D81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1" y="1971675"/>
          <a:ext cx="237648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2447925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79" name="ListBox1">
          <a:extLst>
            <a:ext uri="{FF2B5EF4-FFF2-40B4-BE49-F238E27FC236}">
              <a16:creationId xmlns:a16="http://schemas.microsoft.com/office/drawing/2014/main" id="{3D1A4110-258A-409A-9B19-2ED059F38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1" y="1971675"/>
          <a:ext cx="237648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2471738</xdr:colOff>
      <xdr:row>7</xdr:row>
      <xdr:rowOff>0</xdr:rowOff>
    </xdr:from>
    <xdr:to>
      <xdr:col>15</xdr:col>
      <xdr:colOff>0</xdr:colOff>
      <xdr:row>7</xdr:row>
      <xdr:rowOff>0</xdr:rowOff>
    </xdr:to>
    <xdr:pic>
      <xdr:nvPicPr>
        <xdr:cNvPr id="80" name="ListBox1">
          <a:extLst>
            <a:ext uri="{FF2B5EF4-FFF2-40B4-BE49-F238E27FC236}">
              <a16:creationId xmlns:a16="http://schemas.microsoft.com/office/drawing/2014/main" id="{1D4523A6-2B53-45DA-9F38-D26EBF43A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1" y="3624263"/>
          <a:ext cx="112871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2471738</xdr:colOff>
      <xdr:row>4</xdr:row>
      <xdr:rowOff>0</xdr:rowOff>
    </xdr:from>
    <xdr:to>
      <xdr:col>15</xdr:col>
      <xdr:colOff>0</xdr:colOff>
      <xdr:row>4</xdr:row>
      <xdr:rowOff>0</xdr:rowOff>
    </xdr:to>
    <xdr:pic>
      <xdr:nvPicPr>
        <xdr:cNvPr id="81" name="ListBox1">
          <a:extLst>
            <a:ext uri="{FF2B5EF4-FFF2-40B4-BE49-F238E27FC236}">
              <a16:creationId xmlns:a16="http://schemas.microsoft.com/office/drawing/2014/main" id="{027D38B4-9E33-4C7D-9A5B-D940908B2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1" y="2424113"/>
          <a:ext cx="112871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82" name="TextBox1">
          <a:extLst>
            <a:ext uri="{FF2B5EF4-FFF2-40B4-BE49-F238E27FC236}">
              <a16:creationId xmlns:a16="http://schemas.microsoft.com/office/drawing/2014/main" id="{A7A85618-404E-43D1-9543-93F33B558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1375" y="2605088"/>
          <a:ext cx="1581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83" name="TextBox1">
          <a:extLst>
            <a:ext uri="{FF2B5EF4-FFF2-40B4-BE49-F238E27FC236}">
              <a16:creationId xmlns:a16="http://schemas.microsoft.com/office/drawing/2014/main" id="{8810B40C-D136-40D2-A600-23580674B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1375" y="2605088"/>
          <a:ext cx="1581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84" name="TextBox1">
          <a:extLst>
            <a:ext uri="{FF2B5EF4-FFF2-40B4-BE49-F238E27FC236}">
              <a16:creationId xmlns:a16="http://schemas.microsoft.com/office/drawing/2014/main" id="{52F65300-D2A4-43B3-B5BF-74C4938A1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1375" y="2605088"/>
          <a:ext cx="1581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85" name="TextBox1">
          <a:extLst>
            <a:ext uri="{FF2B5EF4-FFF2-40B4-BE49-F238E27FC236}">
              <a16:creationId xmlns:a16="http://schemas.microsoft.com/office/drawing/2014/main" id="{951EE8C5-E286-42C6-814A-3ACA014CB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1375" y="2605088"/>
          <a:ext cx="1581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2466975</xdr:colOff>
      <xdr:row>3</xdr:row>
      <xdr:rowOff>0</xdr:rowOff>
    </xdr:from>
    <xdr:to>
      <xdr:col>9</xdr:col>
      <xdr:colOff>0</xdr:colOff>
      <xdr:row>3</xdr:row>
      <xdr:rowOff>0</xdr:rowOff>
    </xdr:to>
    <xdr:pic>
      <xdr:nvPicPr>
        <xdr:cNvPr id="90" name="ListBox1">
          <a:extLst>
            <a:ext uri="{FF2B5EF4-FFF2-40B4-BE49-F238E27FC236}">
              <a16:creationId xmlns:a16="http://schemas.microsoft.com/office/drawing/2014/main" id="{1FB83E51-FFC7-4476-AAEA-79B2BE1D5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2525" y="1990725"/>
          <a:ext cx="1919288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2466975</xdr:colOff>
      <xdr:row>3</xdr:row>
      <xdr:rowOff>0</xdr:rowOff>
    </xdr:from>
    <xdr:to>
      <xdr:col>9</xdr:col>
      <xdr:colOff>0</xdr:colOff>
      <xdr:row>3</xdr:row>
      <xdr:rowOff>0</xdr:rowOff>
    </xdr:to>
    <xdr:pic>
      <xdr:nvPicPr>
        <xdr:cNvPr id="91" name="ListBox1">
          <a:extLst>
            <a:ext uri="{FF2B5EF4-FFF2-40B4-BE49-F238E27FC236}">
              <a16:creationId xmlns:a16="http://schemas.microsoft.com/office/drawing/2014/main" id="{DA827C6B-76FA-4934-A89D-E510C7F92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2525" y="1990725"/>
          <a:ext cx="1919288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2466975</xdr:colOff>
      <xdr:row>7</xdr:row>
      <xdr:rowOff>0</xdr:rowOff>
    </xdr:from>
    <xdr:to>
      <xdr:col>15</xdr:col>
      <xdr:colOff>0</xdr:colOff>
      <xdr:row>7</xdr:row>
      <xdr:rowOff>0</xdr:rowOff>
    </xdr:to>
    <xdr:pic>
      <xdr:nvPicPr>
        <xdr:cNvPr id="92" name="ListBox1">
          <a:extLst>
            <a:ext uri="{FF2B5EF4-FFF2-40B4-BE49-F238E27FC236}">
              <a16:creationId xmlns:a16="http://schemas.microsoft.com/office/drawing/2014/main" id="{FDB4F226-DAF6-4546-9DC5-4DE71B677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3405188"/>
          <a:ext cx="1447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2466975</xdr:colOff>
      <xdr:row>4</xdr:row>
      <xdr:rowOff>0</xdr:rowOff>
    </xdr:from>
    <xdr:to>
      <xdr:col>15</xdr:col>
      <xdr:colOff>0</xdr:colOff>
      <xdr:row>4</xdr:row>
      <xdr:rowOff>0</xdr:rowOff>
    </xdr:to>
    <xdr:pic>
      <xdr:nvPicPr>
        <xdr:cNvPr id="93" name="ListBox1">
          <a:extLst>
            <a:ext uri="{FF2B5EF4-FFF2-40B4-BE49-F238E27FC236}">
              <a16:creationId xmlns:a16="http://schemas.microsoft.com/office/drawing/2014/main" id="{28703F7F-30D7-45C3-B46B-04E6C4ADE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2376488"/>
          <a:ext cx="1447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2457450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102" name="ListBox1">
          <a:extLst>
            <a:ext uri="{FF2B5EF4-FFF2-40B4-BE49-F238E27FC236}">
              <a16:creationId xmlns:a16="http://schemas.microsoft.com/office/drawing/2014/main" id="{2915D7C0-9AFB-406B-975E-0B52A9453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1990725"/>
          <a:ext cx="3028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2447925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103" name="ListBox1">
          <a:extLst>
            <a:ext uri="{FF2B5EF4-FFF2-40B4-BE49-F238E27FC236}">
              <a16:creationId xmlns:a16="http://schemas.microsoft.com/office/drawing/2014/main" id="{95FEA436-D4B8-4AE4-8A8A-D30F9A734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1990725"/>
          <a:ext cx="3028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2452688</xdr:colOff>
      <xdr:row>6</xdr:row>
      <xdr:rowOff>0</xdr:rowOff>
    </xdr:from>
    <xdr:to>
      <xdr:col>16</xdr:col>
      <xdr:colOff>0</xdr:colOff>
      <xdr:row>6</xdr:row>
      <xdr:rowOff>0</xdr:rowOff>
    </xdr:to>
    <xdr:pic>
      <xdr:nvPicPr>
        <xdr:cNvPr id="104" name="ListBox1">
          <a:extLst>
            <a:ext uri="{FF2B5EF4-FFF2-40B4-BE49-F238E27FC236}">
              <a16:creationId xmlns:a16="http://schemas.microsoft.com/office/drawing/2014/main" id="{0B6CD00C-09E1-4A57-B239-31FDF2BD6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3005138"/>
          <a:ext cx="44672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2452688</xdr:colOff>
      <xdr:row>6</xdr:row>
      <xdr:rowOff>0</xdr:rowOff>
    </xdr:from>
    <xdr:to>
      <xdr:col>16</xdr:col>
      <xdr:colOff>0</xdr:colOff>
      <xdr:row>6</xdr:row>
      <xdr:rowOff>0</xdr:rowOff>
    </xdr:to>
    <xdr:pic>
      <xdr:nvPicPr>
        <xdr:cNvPr id="105" name="ListBox1">
          <a:extLst>
            <a:ext uri="{FF2B5EF4-FFF2-40B4-BE49-F238E27FC236}">
              <a16:creationId xmlns:a16="http://schemas.microsoft.com/office/drawing/2014/main" id="{A0DB52BB-93E6-4AD3-9EF1-47CD89B6B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3005138"/>
          <a:ext cx="44672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2457450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106" name="ListBox1">
          <a:extLst>
            <a:ext uri="{FF2B5EF4-FFF2-40B4-BE49-F238E27FC236}">
              <a16:creationId xmlns:a16="http://schemas.microsoft.com/office/drawing/2014/main" id="{41AACD91-E38C-4E6A-91DA-5424B5BA8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1990725"/>
          <a:ext cx="3028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2447925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107" name="ListBox1">
          <a:extLst>
            <a:ext uri="{FF2B5EF4-FFF2-40B4-BE49-F238E27FC236}">
              <a16:creationId xmlns:a16="http://schemas.microsoft.com/office/drawing/2014/main" id="{384676CD-7E7C-4D8A-9515-03FC017E8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1990725"/>
          <a:ext cx="3028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2466975</xdr:colOff>
      <xdr:row>7</xdr:row>
      <xdr:rowOff>0</xdr:rowOff>
    </xdr:from>
    <xdr:to>
      <xdr:col>15</xdr:col>
      <xdr:colOff>0</xdr:colOff>
      <xdr:row>7</xdr:row>
      <xdr:rowOff>0</xdr:rowOff>
    </xdr:to>
    <xdr:pic>
      <xdr:nvPicPr>
        <xdr:cNvPr id="108" name="ListBox1">
          <a:extLst>
            <a:ext uri="{FF2B5EF4-FFF2-40B4-BE49-F238E27FC236}">
              <a16:creationId xmlns:a16="http://schemas.microsoft.com/office/drawing/2014/main" id="{C34D98D4-B7F6-46EB-86C4-98C06508F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3405188"/>
          <a:ext cx="1447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2466975</xdr:colOff>
      <xdr:row>4</xdr:row>
      <xdr:rowOff>0</xdr:rowOff>
    </xdr:from>
    <xdr:to>
      <xdr:col>15</xdr:col>
      <xdr:colOff>0</xdr:colOff>
      <xdr:row>4</xdr:row>
      <xdr:rowOff>0</xdr:rowOff>
    </xdr:to>
    <xdr:pic>
      <xdr:nvPicPr>
        <xdr:cNvPr id="109" name="ListBox1">
          <a:extLst>
            <a:ext uri="{FF2B5EF4-FFF2-40B4-BE49-F238E27FC236}">
              <a16:creationId xmlns:a16="http://schemas.microsoft.com/office/drawing/2014/main" id="{62BCCEFF-74BC-475C-A008-3D08AB1B9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2376488"/>
          <a:ext cx="1447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2457450</xdr:colOff>
      <xdr:row>3</xdr:row>
      <xdr:rowOff>0</xdr:rowOff>
    </xdr:from>
    <xdr:to>
      <xdr:col>7</xdr:col>
      <xdr:colOff>0</xdr:colOff>
      <xdr:row>3</xdr:row>
      <xdr:rowOff>0</xdr:rowOff>
    </xdr:to>
    <xdr:pic>
      <xdr:nvPicPr>
        <xdr:cNvPr id="86" name="ListBox1">
          <a:extLst>
            <a:ext uri="{FF2B5EF4-FFF2-40B4-BE49-F238E27FC236}">
              <a16:creationId xmlns:a16="http://schemas.microsoft.com/office/drawing/2014/main" id="{06E65E08-F681-4A44-BAFF-19C651C34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1" y="1795463"/>
          <a:ext cx="26860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87" name="TextBox1">
          <a:extLst>
            <a:ext uri="{FF2B5EF4-FFF2-40B4-BE49-F238E27FC236}">
              <a16:creationId xmlns:a16="http://schemas.microsoft.com/office/drawing/2014/main" id="{E06E1269-F2DF-4B76-965D-F04278C9C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4663" y="2862263"/>
          <a:ext cx="125253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88" name="TextBox1">
          <a:extLst>
            <a:ext uri="{FF2B5EF4-FFF2-40B4-BE49-F238E27FC236}">
              <a16:creationId xmlns:a16="http://schemas.microsoft.com/office/drawing/2014/main" id="{5E79A9DD-40C5-42E7-9C17-3D99D939F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4663" y="2862263"/>
          <a:ext cx="125253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2447925</xdr:colOff>
      <xdr:row>3</xdr:row>
      <xdr:rowOff>0</xdr:rowOff>
    </xdr:from>
    <xdr:to>
      <xdr:col>7</xdr:col>
      <xdr:colOff>0</xdr:colOff>
      <xdr:row>3</xdr:row>
      <xdr:rowOff>0</xdr:rowOff>
    </xdr:to>
    <xdr:pic>
      <xdr:nvPicPr>
        <xdr:cNvPr id="89" name="ListBox1">
          <a:extLst>
            <a:ext uri="{FF2B5EF4-FFF2-40B4-BE49-F238E27FC236}">
              <a16:creationId xmlns:a16="http://schemas.microsoft.com/office/drawing/2014/main" id="{AE868E7E-C36B-4920-9F04-E27129138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1" y="1795463"/>
          <a:ext cx="26860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2457450</xdr:colOff>
      <xdr:row>3</xdr:row>
      <xdr:rowOff>0</xdr:rowOff>
    </xdr:from>
    <xdr:to>
      <xdr:col>7</xdr:col>
      <xdr:colOff>0</xdr:colOff>
      <xdr:row>3</xdr:row>
      <xdr:rowOff>0</xdr:rowOff>
    </xdr:to>
    <xdr:pic>
      <xdr:nvPicPr>
        <xdr:cNvPr id="94" name="ListBox1">
          <a:extLst>
            <a:ext uri="{FF2B5EF4-FFF2-40B4-BE49-F238E27FC236}">
              <a16:creationId xmlns:a16="http://schemas.microsoft.com/office/drawing/2014/main" id="{3C43FBC6-3673-4B4F-80C8-1AA408C9F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1" y="1795463"/>
          <a:ext cx="26860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95" name="TextBox1">
          <a:extLst>
            <a:ext uri="{FF2B5EF4-FFF2-40B4-BE49-F238E27FC236}">
              <a16:creationId xmlns:a16="http://schemas.microsoft.com/office/drawing/2014/main" id="{981D49D3-3DE0-43B7-8E15-4AE25468B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4663" y="2862263"/>
          <a:ext cx="125253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96" name="TextBox1">
          <a:extLst>
            <a:ext uri="{FF2B5EF4-FFF2-40B4-BE49-F238E27FC236}">
              <a16:creationId xmlns:a16="http://schemas.microsoft.com/office/drawing/2014/main" id="{E5B0A663-3217-4DCD-8AE0-47A2F680C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4663" y="2862263"/>
          <a:ext cx="125253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1557338</xdr:colOff>
      <xdr:row>12</xdr:row>
      <xdr:rowOff>90488</xdr:rowOff>
    </xdr:from>
    <xdr:to>
      <xdr:col>6</xdr:col>
      <xdr:colOff>1895475</xdr:colOff>
      <xdr:row>12</xdr:row>
      <xdr:rowOff>90488</xdr:rowOff>
    </xdr:to>
    <xdr:pic>
      <xdr:nvPicPr>
        <xdr:cNvPr id="97" name="ListBox1">
          <a:extLst>
            <a:ext uri="{FF2B5EF4-FFF2-40B4-BE49-F238E27FC236}">
              <a16:creationId xmlns:a16="http://schemas.microsoft.com/office/drawing/2014/main" id="{61A03907-87DC-4074-B121-1107D8E70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1" y="6153151"/>
          <a:ext cx="2686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2466975</xdr:colOff>
      <xdr:row>3</xdr:row>
      <xdr:rowOff>0</xdr:rowOff>
    </xdr:from>
    <xdr:to>
      <xdr:col>9</xdr:col>
      <xdr:colOff>0</xdr:colOff>
      <xdr:row>3</xdr:row>
      <xdr:rowOff>0</xdr:rowOff>
    </xdr:to>
    <xdr:pic>
      <xdr:nvPicPr>
        <xdr:cNvPr id="98" name="ListBox1">
          <a:extLst>
            <a:ext uri="{FF2B5EF4-FFF2-40B4-BE49-F238E27FC236}">
              <a16:creationId xmlns:a16="http://schemas.microsoft.com/office/drawing/2014/main" id="{AA08F0B6-CEB0-4778-950B-C381BD168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1" y="1795463"/>
          <a:ext cx="15811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2466975</xdr:colOff>
      <xdr:row>3</xdr:row>
      <xdr:rowOff>0</xdr:rowOff>
    </xdr:from>
    <xdr:to>
      <xdr:col>9</xdr:col>
      <xdr:colOff>0</xdr:colOff>
      <xdr:row>3</xdr:row>
      <xdr:rowOff>0</xdr:rowOff>
    </xdr:to>
    <xdr:pic>
      <xdr:nvPicPr>
        <xdr:cNvPr id="99" name="ListBox1">
          <a:extLst>
            <a:ext uri="{FF2B5EF4-FFF2-40B4-BE49-F238E27FC236}">
              <a16:creationId xmlns:a16="http://schemas.microsoft.com/office/drawing/2014/main" id="{991C3E29-9554-4C5A-866D-D7FD3472F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1" y="1795463"/>
          <a:ext cx="15811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2457450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100" name="ListBox1">
          <a:extLst>
            <a:ext uri="{FF2B5EF4-FFF2-40B4-BE49-F238E27FC236}">
              <a16:creationId xmlns:a16="http://schemas.microsoft.com/office/drawing/2014/main" id="{C08EDDB8-F9BE-4B73-B3D7-BB61CAFF7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1" y="1795463"/>
          <a:ext cx="26860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2447925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101" name="ListBox1">
          <a:extLst>
            <a:ext uri="{FF2B5EF4-FFF2-40B4-BE49-F238E27FC236}">
              <a16:creationId xmlns:a16="http://schemas.microsoft.com/office/drawing/2014/main" id="{DC200EB0-1DBB-4D76-BA13-CEA37348E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1" y="1795463"/>
          <a:ext cx="26860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2457450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110" name="ListBox1">
          <a:extLst>
            <a:ext uri="{FF2B5EF4-FFF2-40B4-BE49-F238E27FC236}">
              <a16:creationId xmlns:a16="http://schemas.microsoft.com/office/drawing/2014/main" id="{D02EA549-F78D-4D24-AEA0-B0A52A7DD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1" y="1795463"/>
          <a:ext cx="26860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1557338</xdr:colOff>
      <xdr:row>12</xdr:row>
      <xdr:rowOff>90488</xdr:rowOff>
    </xdr:from>
    <xdr:to>
      <xdr:col>15</xdr:col>
      <xdr:colOff>1895475</xdr:colOff>
      <xdr:row>12</xdr:row>
      <xdr:rowOff>90488</xdr:rowOff>
    </xdr:to>
    <xdr:pic>
      <xdr:nvPicPr>
        <xdr:cNvPr id="111" name="ListBox1">
          <a:extLst>
            <a:ext uri="{FF2B5EF4-FFF2-40B4-BE49-F238E27FC236}">
              <a16:creationId xmlns:a16="http://schemas.microsoft.com/office/drawing/2014/main" id="{C53779CB-4BB8-4F0F-B1F7-1BC9B54F9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1" y="6153151"/>
          <a:ext cx="2686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2466975</xdr:colOff>
      <xdr:row>7</xdr:row>
      <xdr:rowOff>0</xdr:rowOff>
    </xdr:from>
    <xdr:to>
      <xdr:col>15</xdr:col>
      <xdr:colOff>0</xdr:colOff>
      <xdr:row>7</xdr:row>
      <xdr:rowOff>0</xdr:rowOff>
    </xdr:to>
    <xdr:pic>
      <xdr:nvPicPr>
        <xdr:cNvPr id="112" name="ListBox1">
          <a:extLst>
            <a:ext uri="{FF2B5EF4-FFF2-40B4-BE49-F238E27FC236}">
              <a16:creationId xmlns:a16="http://schemas.microsoft.com/office/drawing/2014/main" id="{3420BEBB-D649-4CDF-B89E-2F3CF9051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1" y="3662363"/>
          <a:ext cx="143351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2466975</xdr:colOff>
      <xdr:row>4</xdr:row>
      <xdr:rowOff>0</xdr:rowOff>
    </xdr:from>
    <xdr:to>
      <xdr:col>15</xdr:col>
      <xdr:colOff>0</xdr:colOff>
      <xdr:row>4</xdr:row>
      <xdr:rowOff>0</xdr:rowOff>
    </xdr:to>
    <xdr:pic>
      <xdr:nvPicPr>
        <xdr:cNvPr id="113" name="ListBox1">
          <a:extLst>
            <a:ext uri="{FF2B5EF4-FFF2-40B4-BE49-F238E27FC236}">
              <a16:creationId xmlns:a16="http://schemas.microsoft.com/office/drawing/2014/main" id="{722F227C-A445-42AA-8F81-3D6C5D838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1" y="2262188"/>
          <a:ext cx="143351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114" name="TextBox1">
          <a:extLst>
            <a:ext uri="{FF2B5EF4-FFF2-40B4-BE49-F238E27FC236}">
              <a16:creationId xmlns:a16="http://schemas.microsoft.com/office/drawing/2014/main" id="{62A8D3F3-338F-436E-B6B7-4AD6214A8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9413" y="2943225"/>
          <a:ext cx="148113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115" name="TextBox1">
          <a:extLst>
            <a:ext uri="{FF2B5EF4-FFF2-40B4-BE49-F238E27FC236}">
              <a16:creationId xmlns:a16="http://schemas.microsoft.com/office/drawing/2014/main" id="{15F31EF3-DD37-4AAD-9C20-1904E05D2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9413" y="2943225"/>
          <a:ext cx="148113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116" name="TextBox1">
          <a:extLst>
            <a:ext uri="{FF2B5EF4-FFF2-40B4-BE49-F238E27FC236}">
              <a16:creationId xmlns:a16="http://schemas.microsoft.com/office/drawing/2014/main" id="{858D1558-C048-4ADB-9D3F-23B67FFF8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9413" y="2943225"/>
          <a:ext cx="148113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117" name="TextBox1">
          <a:extLst>
            <a:ext uri="{FF2B5EF4-FFF2-40B4-BE49-F238E27FC236}">
              <a16:creationId xmlns:a16="http://schemas.microsoft.com/office/drawing/2014/main" id="{A17B0B9B-A755-466F-A1FA-49F100DB2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9413" y="2943225"/>
          <a:ext cx="148113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2466975</xdr:colOff>
      <xdr:row>7</xdr:row>
      <xdr:rowOff>0</xdr:rowOff>
    </xdr:from>
    <xdr:to>
      <xdr:col>15</xdr:col>
      <xdr:colOff>0</xdr:colOff>
      <xdr:row>7</xdr:row>
      <xdr:rowOff>0</xdr:rowOff>
    </xdr:to>
    <xdr:pic>
      <xdr:nvPicPr>
        <xdr:cNvPr id="120" name="ListBox1">
          <a:extLst>
            <a:ext uri="{FF2B5EF4-FFF2-40B4-BE49-F238E27FC236}">
              <a16:creationId xmlns:a16="http://schemas.microsoft.com/office/drawing/2014/main" id="{5A981BE2-5476-4A97-9CE4-6B4B5B28B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588" y="3743325"/>
          <a:ext cx="1266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2466975</xdr:colOff>
      <xdr:row>4</xdr:row>
      <xdr:rowOff>0</xdr:rowOff>
    </xdr:from>
    <xdr:to>
      <xdr:col>15</xdr:col>
      <xdr:colOff>0</xdr:colOff>
      <xdr:row>4</xdr:row>
      <xdr:rowOff>0</xdr:rowOff>
    </xdr:to>
    <xdr:pic>
      <xdr:nvPicPr>
        <xdr:cNvPr id="121" name="ListBox1">
          <a:extLst>
            <a:ext uri="{FF2B5EF4-FFF2-40B4-BE49-F238E27FC236}">
              <a16:creationId xmlns:a16="http://schemas.microsoft.com/office/drawing/2014/main" id="{1DF30166-DABD-4FBC-B600-17505861E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588" y="2543175"/>
          <a:ext cx="1266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2457450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122" name="ListBox1">
          <a:extLst>
            <a:ext uri="{FF2B5EF4-FFF2-40B4-BE49-F238E27FC236}">
              <a16:creationId xmlns:a16="http://schemas.microsoft.com/office/drawing/2014/main" id="{3D07AD58-A379-4D07-8124-0948753EC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588" y="2166938"/>
          <a:ext cx="274796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2447925</xdr:colOff>
      <xdr:row>5</xdr:row>
      <xdr:rowOff>0</xdr:rowOff>
    </xdr:from>
    <xdr:to>
      <xdr:col>16</xdr:col>
      <xdr:colOff>0</xdr:colOff>
      <xdr:row>5</xdr:row>
      <xdr:rowOff>0</xdr:rowOff>
    </xdr:to>
    <xdr:pic>
      <xdr:nvPicPr>
        <xdr:cNvPr id="123" name="ListBox1">
          <a:extLst>
            <a:ext uri="{FF2B5EF4-FFF2-40B4-BE49-F238E27FC236}">
              <a16:creationId xmlns:a16="http://schemas.microsoft.com/office/drawing/2014/main" id="{11E02B0E-6D27-4187-BEFD-6A7A0D0FF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588" y="2943225"/>
          <a:ext cx="274796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2447925</xdr:colOff>
      <xdr:row>5</xdr:row>
      <xdr:rowOff>0</xdr:rowOff>
    </xdr:from>
    <xdr:to>
      <xdr:col>16</xdr:col>
      <xdr:colOff>0</xdr:colOff>
      <xdr:row>5</xdr:row>
      <xdr:rowOff>0</xdr:rowOff>
    </xdr:to>
    <xdr:pic>
      <xdr:nvPicPr>
        <xdr:cNvPr id="124" name="ListBox1">
          <a:extLst>
            <a:ext uri="{FF2B5EF4-FFF2-40B4-BE49-F238E27FC236}">
              <a16:creationId xmlns:a16="http://schemas.microsoft.com/office/drawing/2014/main" id="{56090F15-5170-4B32-84DF-4D764C94D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588" y="2943225"/>
          <a:ext cx="274796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2447925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125" name="ListBox1">
          <a:extLst>
            <a:ext uri="{FF2B5EF4-FFF2-40B4-BE49-F238E27FC236}">
              <a16:creationId xmlns:a16="http://schemas.microsoft.com/office/drawing/2014/main" id="{7475A98A-BA99-41CB-BDE6-D15691EAB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588" y="2166938"/>
          <a:ext cx="274796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2457450</xdr:colOff>
      <xdr:row>5</xdr:row>
      <xdr:rowOff>0</xdr:rowOff>
    </xdr:from>
    <xdr:to>
      <xdr:col>16</xdr:col>
      <xdr:colOff>0</xdr:colOff>
      <xdr:row>5</xdr:row>
      <xdr:rowOff>0</xdr:rowOff>
    </xdr:to>
    <xdr:pic>
      <xdr:nvPicPr>
        <xdr:cNvPr id="126" name="ListBox1">
          <a:extLst>
            <a:ext uri="{FF2B5EF4-FFF2-40B4-BE49-F238E27FC236}">
              <a16:creationId xmlns:a16="http://schemas.microsoft.com/office/drawing/2014/main" id="{F655E3A0-EAAA-4FC0-A7C8-04A91FA82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588" y="2943225"/>
          <a:ext cx="274796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2452688</xdr:colOff>
      <xdr:row>6</xdr:row>
      <xdr:rowOff>0</xdr:rowOff>
    </xdr:from>
    <xdr:to>
      <xdr:col>16</xdr:col>
      <xdr:colOff>0</xdr:colOff>
      <xdr:row>6</xdr:row>
      <xdr:rowOff>0</xdr:rowOff>
    </xdr:to>
    <xdr:pic>
      <xdr:nvPicPr>
        <xdr:cNvPr id="127" name="ListBox1">
          <a:extLst>
            <a:ext uri="{FF2B5EF4-FFF2-40B4-BE49-F238E27FC236}">
              <a16:creationId xmlns:a16="http://schemas.microsoft.com/office/drawing/2014/main" id="{2C0A2BF4-8257-4D75-B1FB-7920B1661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3" y="3343275"/>
          <a:ext cx="401478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2457450</xdr:colOff>
      <xdr:row>5</xdr:row>
      <xdr:rowOff>0</xdr:rowOff>
    </xdr:from>
    <xdr:to>
      <xdr:col>16</xdr:col>
      <xdr:colOff>0</xdr:colOff>
      <xdr:row>5</xdr:row>
      <xdr:rowOff>0</xdr:rowOff>
    </xdr:to>
    <xdr:pic>
      <xdr:nvPicPr>
        <xdr:cNvPr id="128" name="ListBox1">
          <a:extLst>
            <a:ext uri="{FF2B5EF4-FFF2-40B4-BE49-F238E27FC236}">
              <a16:creationId xmlns:a16="http://schemas.microsoft.com/office/drawing/2014/main" id="{318C6776-43B2-40B9-929D-F98E2CEA6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588" y="2943225"/>
          <a:ext cx="274796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2452688</xdr:colOff>
      <xdr:row>6</xdr:row>
      <xdr:rowOff>0</xdr:rowOff>
    </xdr:from>
    <xdr:to>
      <xdr:col>16</xdr:col>
      <xdr:colOff>0</xdr:colOff>
      <xdr:row>6</xdr:row>
      <xdr:rowOff>0</xdr:rowOff>
    </xdr:to>
    <xdr:pic>
      <xdr:nvPicPr>
        <xdr:cNvPr id="129" name="ListBox1">
          <a:extLst>
            <a:ext uri="{FF2B5EF4-FFF2-40B4-BE49-F238E27FC236}">
              <a16:creationId xmlns:a16="http://schemas.microsoft.com/office/drawing/2014/main" id="{E6705CEB-79C1-44F8-884B-CC9348B89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3" y="3343275"/>
          <a:ext cx="401478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2457450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130" name="ListBox1">
          <a:extLst>
            <a:ext uri="{FF2B5EF4-FFF2-40B4-BE49-F238E27FC236}">
              <a16:creationId xmlns:a16="http://schemas.microsoft.com/office/drawing/2014/main" id="{C647EDC5-54F7-43F6-BB1A-E9E265A4B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588" y="2166938"/>
          <a:ext cx="274796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2447925</xdr:colOff>
      <xdr:row>5</xdr:row>
      <xdr:rowOff>0</xdr:rowOff>
    </xdr:from>
    <xdr:to>
      <xdr:col>16</xdr:col>
      <xdr:colOff>0</xdr:colOff>
      <xdr:row>5</xdr:row>
      <xdr:rowOff>0</xdr:rowOff>
    </xdr:to>
    <xdr:pic>
      <xdr:nvPicPr>
        <xdr:cNvPr id="131" name="ListBox1">
          <a:extLst>
            <a:ext uri="{FF2B5EF4-FFF2-40B4-BE49-F238E27FC236}">
              <a16:creationId xmlns:a16="http://schemas.microsoft.com/office/drawing/2014/main" id="{D477699D-0BAF-4A5A-9852-5831DDABA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588" y="2943225"/>
          <a:ext cx="274796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2447925</xdr:colOff>
      <xdr:row>5</xdr:row>
      <xdr:rowOff>0</xdr:rowOff>
    </xdr:from>
    <xdr:to>
      <xdr:col>16</xdr:col>
      <xdr:colOff>0</xdr:colOff>
      <xdr:row>5</xdr:row>
      <xdr:rowOff>0</xdr:rowOff>
    </xdr:to>
    <xdr:pic>
      <xdr:nvPicPr>
        <xdr:cNvPr id="132" name="ListBox1">
          <a:extLst>
            <a:ext uri="{FF2B5EF4-FFF2-40B4-BE49-F238E27FC236}">
              <a16:creationId xmlns:a16="http://schemas.microsoft.com/office/drawing/2014/main" id="{00DF434F-FA8B-4A15-B860-FE96FC864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588" y="2943225"/>
          <a:ext cx="274796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1557338</xdr:colOff>
      <xdr:row>12</xdr:row>
      <xdr:rowOff>180975</xdr:rowOff>
    </xdr:from>
    <xdr:to>
      <xdr:col>15</xdr:col>
      <xdr:colOff>1895475</xdr:colOff>
      <xdr:row>12</xdr:row>
      <xdr:rowOff>180975</xdr:rowOff>
    </xdr:to>
    <xdr:pic>
      <xdr:nvPicPr>
        <xdr:cNvPr id="133" name="ListBox1">
          <a:extLst>
            <a:ext uri="{FF2B5EF4-FFF2-40B4-BE49-F238E27FC236}">
              <a16:creationId xmlns:a16="http://schemas.microsoft.com/office/drawing/2014/main" id="{F3E72C45-9F5E-4288-84BA-DEE9EE851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588" y="6124575"/>
          <a:ext cx="2747963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2466975</xdr:colOff>
      <xdr:row>7</xdr:row>
      <xdr:rowOff>0</xdr:rowOff>
    </xdr:from>
    <xdr:to>
      <xdr:col>15</xdr:col>
      <xdr:colOff>0</xdr:colOff>
      <xdr:row>7</xdr:row>
      <xdr:rowOff>0</xdr:rowOff>
    </xdr:to>
    <xdr:pic>
      <xdr:nvPicPr>
        <xdr:cNvPr id="134" name="ListBox1">
          <a:extLst>
            <a:ext uri="{FF2B5EF4-FFF2-40B4-BE49-F238E27FC236}">
              <a16:creationId xmlns:a16="http://schemas.microsoft.com/office/drawing/2014/main" id="{BE7309AD-2FD7-4CDF-8E7B-80F9BB7C2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588" y="3743325"/>
          <a:ext cx="1266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2466975</xdr:colOff>
      <xdr:row>4</xdr:row>
      <xdr:rowOff>0</xdr:rowOff>
    </xdr:from>
    <xdr:to>
      <xdr:col>15</xdr:col>
      <xdr:colOff>0</xdr:colOff>
      <xdr:row>4</xdr:row>
      <xdr:rowOff>0</xdr:rowOff>
    </xdr:to>
    <xdr:pic>
      <xdr:nvPicPr>
        <xdr:cNvPr id="135" name="ListBox1">
          <a:extLst>
            <a:ext uri="{FF2B5EF4-FFF2-40B4-BE49-F238E27FC236}">
              <a16:creationId xmlns:a16="http://schemas.microsoft.com/office/drawing/2014/main" id="{B29509CD-D2B2-4EAC-9EB1-06312615C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588" y="2543175"/>
          <a:ext cx="1266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26</xdr:col>
      <xdr:colOff>762000</xdr:colOff>
      <xdr:row>15</xdr:row>
      <xdr:rowOff>66675</xdr:rowOff>
    </xdr:from>
    <xdr:to>
      <xdr:col>27</xdr:col>
      <xdr:colOff>152400</xdr:colOff>
      <xdr:row>15</xdr:row>
      <xdr:rowOff>66675</xdr:rowOff>
    </xdr:to>
    <xdr:pic>
      <xdr:nvPicPr>
        <xdr:cNvPr id="136" name="ListBox1">
          <a:extLst>
            <a:ext uri="{FF2B5EF4-FFF2-40B4-BE49-F238E27FC236}">
              <a16:creationId xmlns:a16="http://schemas.microsoft.com/office/drawing/2014/main" id="{8CA4FC1D-200D-4E2E-AD70-8349198D4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3938" y="7210425"/>
          <a:ext cx="152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2457450</xdr:colOff>
      <xdr:row>3</xdr:row>
      <xdr:rowOff>0</xdr:rowOff>
    </xdr:from>
    <xdr:to>
      <xdr:col>7</xdr:col>
      <xdr:colOff>0</xdr:colOff>
      <xdr:row>3</xdr:row>
      <xdr:rowOff>0</xdr:rowOff>
    </xdr:to>
    <xdr:pic>
      <xdr:nvPicPr>
        <xdr:cNvPr id="118" name="ListBox1">
          <a:extLst>
            <a:ext uri="{FF2B5EF4-FFF2-40B4-BE49-F238E27FC236}">
              <a16:creationId xmlns:a16="http://schemas.microsoft.com/office/drawing/2014/main" id="{9F8209F4-05F2-43CB-82B3-4494FDE83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8" y="1966913"/>
          <a:ext cx="288131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119" name="TextBox1">
          <a:extLst>
            <a:ext uri="{FF2B5EF4-FFF2-40B4-BE49-F238E27FC236}">
              <a16:creationId xmlns:a16="http://schemas.microsoft.com/office/drawing/2014/main" id="{BB5CE4D2-DC90-49F5-8EC7-CB763A4A4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852738"/>
          <a:ext cx="1533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2447925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137" name="ListBox1">
          <a:extLst>
            <a:ext uri="{FF2B5EF4-FFF2-40B4-BE49-F238E27FC236}">
              <a16:creationId xmlns:a16="http://schemas.microsoft.com/office/drawing/2014/main" id="{02491E0C-8BA1-4ECB-AE2E-676F4C2D3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8" y="2852738"/>
          <a:ext cx="288131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138" name="TextBox1">
          <a:extLst>
            <a:ext uri="{FF2B5EF4-FFF2-40B4-BE49-F238E27FC236}">
              <a16:creationId xmlns:a16="http://schemas.microsoft.com/office/drawing/2014/main" id="{44E9933E-3389-42CD-A60E-CAF075BD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852738"/>
          <a:ext cx="1533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2447925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139" name="ListBox1">
          <a:extLst>
            <a:ext uri="{FF2B5EF4-FFF2-40B4-BE49-F238E27FC236}">
              <a16:creationId xmlns:a16="http://schemas.microsoft.com/office/drawing/2014/main" id="{45BFA730-E3A1-4F12-8A26-B4A56DF74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8" y="2852738"/>
          <a:ext cx="288131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2447925</xdr:colOff>
      <xdr:row>3</xdr:row>
      <xdr:rowOff>0</xdr:rowOff>
    </xdr:from>
    <xdr:to>
      <xdr:col>7</xdr:col>
      <xdr:colOff>0</xdr:colOff>
      <xdr:row>3</xdr:row>
      <xdr:rowOff>0</xdr:rowOff>
    </xdr:to>
    <xdr:pic>
      <xdr:nvPicPr>
        <xdr:cNvPr id="140" name="ListBox1">
          <a:extLst>
            <a:ext uri="{FF2B5EF4-FFF2-40B4-BE49-F238E27FC236}">
              <a16:creationId xmlns:a16="http://schemas.microsoft.com/office/drawing/2014/main" id="{79288AD4-34BC-4F92-BE41-6E641AF96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8" y="1966913"/>
          <a:ext cx="288131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2457450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141" name="ListBox1">
          <a:extLst>
            <a:ext uri="{FF2B5EF4-FFF2-40B4-BE49-F238E27FC236}">
              <a16:creationId xmlns:a16="http://schemas.microsoft.com/office/drawing/2014/main" id="{43470215-C34A-4B41-BB55-9DF01E780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8" y="2852738"/>
          <a:ext cx="288131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2457450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142" name="ListBox1">
          <a:extLst>
            <a:ext uri="{FF2B5EF4-FFF2-40B4-BE49-F238E27FC236}">
              <a16:creationId xmlns:a16="http://schemas.microsoft.com/office/drawing/2014/main" id="{AEAA0E37-18C1-44CC-8A6B-6C1EF9CFA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8" y="2852738"/>
          <a:ext cx="288131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10235</xdr:colOff>
      <xdr:row>2</xdr:row>
      <xdr:rowOff>369853</xdr:rowOff>
    </xdr:from>
    <xdr:to>
      <xdr:col>7</xdr:col>
      <xdr:colOff>10133</xdr:colOff>
      <xdr:row>2</xdr:row>
      <xdr:rowOff>369853</xdr:rowOff>
    </xdr:to>
    <xdr:pic>
      <xdr:nvPicPr>
        <xdr:cNvPr id="143" name="ListBox1">
          <a:extLst>
            <a:ext uri="{FF2B5EF4-FFF2-40B4-BE49-F238E27FC236}">
              <a16:creationId xmlns:a16="http://schemas.microsoft.com/office/drawing/2014/main" id="{67D7FCAF-9DAC-43E3-8719-B13CA8632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7123" y="1936716"/>
          <a:ext cx="28812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144" name="TextBox1">
          <a:extLst>
            <a:ext uri="{FF2B5EF4-FFF2-40B4-BE49-F238E27FC236}">
              <a16:creationId xmlns:a16="http://schemas.microsoft.com/office/drawing/2014/main" id="{F624E364-A3C6-4062-B9B9-0C4E83737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852738"/>
          <a:ext cx="1533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2447925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145" name="ListBox1">
          <a:extLst>
            <a:ext uri="{FF2B5EF4-FFF2-40B4-BE49-F238E27FC236}">
              <a16:creationId xmlns:a16="http://schemas.microsoft.com/office/drawing/2014/main" id="{782D2473-A512-4130-9E42-2685D4DB0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8" y="2852738"/>
          <a:ext cx="288131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146" name="TextBox1">
          <a:extLst>
            <a:ext uri="{FF2B5EF4-FFF2-40B4-BE49-F238E27FC236}">
              <a16:creationId xmlns:a16="http://schemas.microsoft.com/office/drawing/2014/main" id="{A2874502-5DE3-4A4F-93AA-015FE0EEA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852738"/>
          <a:ext cx="1533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2447925</xdr:colOff>
      <xdr:row>5</xdr:row>
      <xdr:rowOff>0</xdr:rowOff>
    </xdr:from>
    <xdr:to>
      <xdr:col>7</xdr:col>
      <xdr:colOff>0</xdr:colOff>
      <xdr:row>5</xdr:row>
      <xdr:rowOff>0</xdr:rowOff>
    </xdr:to>
    <xdr:pic>
      <xdr:nvPicPr>
        <xdr:cNvPr id="147" name="ListBox1">
          <a:extLst>
            <a:ext uri="{FF2B5EF4-FFF2-40B4-BE49-F238E27FC236}">
              <a16:creationId xmlns:a16="http://schemas.microsoft.com/office/drawing/2014/main" id="{A8C5525A-6C42-42B1-BEF3-9006C40E6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8" y="2852738"/>
          <a:ext cx="288131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1557338</xdr:colOff>
      <xdr:row>12</xdr:row>
      <xdr:rowOff>180975</xdr:rowOff>
    </xdr:from>
    <xdr:to>
      <xdr:col>6</xdr:col>
      <xdr:colOff>1895475</xdr:colOff>
      <xdr:row>12</xdr:row>
      <xdr:rowOff>180975</xdr:rowOff>
    </xdr:to>
    <xdr:pic>
      <xdr:nvPicPr>
        <xdr:cNvPr id="148" name="ListBox1">
          <a:extLst>
            <a:ext uri="{FF2B5EF4-FFF2-40B4-BE49-F238E27FC236}">
              <a16:creationId xmlns:a16="http://schemas.microsoft.com/office/drawing/2014/main" id="{191C5F5B-6B10-4341-8635-FC58307BC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8" y="6034088"/>
          <a:ext cx="288131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2457450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149" name="ListBox1">
          <a:extLst>
            <a:ext uri="{FF2B5EF4-FFF2-40B4-BE49-F238E27FC236}">
              <a16:creationId xmlns:a16="http://schemas.microsoft.com/office/drawing/2014/main" id="{56E0B4A8-B27B-457A-8AAD-441F00855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8" y="1966913"/>
          <a:ext cx="288131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2447925</xdr:colOff>
      <xdr:row>5</xdr:row>
      <xdr:rowOff>0</xdr:rowOff>
    </xdr:from>
    <xdr:to>
      <xdr:col>16</xdr:col>
      <xdr:colOff>0</xdr:colOff>
      <xdr:row>5</xdr:row>
      <xdr:rowOff>0</xdr:rowOff>
    </xdr:to>
    <xdr:pic>
      <xdr:nvPicPr>
        <xdr:cNvPr id="150" name="ListBox1">
          <a:extLst>
            <a:ext uri="{FF2B5EF4-FFF2-40B4-BE49-F238E27FC236}">
              <a16:creationId xmlns:a16="http://schemas.microsoft.com/office/drawing/2014/main" id="{850B7BF4-3DD1-4F62-92C6-85037113E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8" y="2852738"/>
          <a:ext cx="288131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2447925</xdr:colOff>
      <xdr:row>5</xdr:row>
      <xdr:rowOff>0</xdr:rowOff>
    </xdr:from>
    <xdr:to>
      <xdr:col>16</xdr:col>
      <xdr:colOff>0</xdr:colOff>
      <xdr:row>5</xdr:row>
      <xdr:rowOff>0</xdr:rowOff>
    </xdr:to>
    <xdr:pic>
      <xdr:nvPicPr>
        <xdr:cNvPr id="151" name="ListBox1">
          <a:extLst>
            <a:ext uri="{FF2B5EF4-FFF2-40B4-BE49-F238E27FC236}">
              <a16:creationId xmlns:a16="http://schemas.microsoft.com/office/drawing/2014/main" id="{B2B52E8D-7E8C-43B9-AE63-C2B1BBA83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8" y="2852738"/>
          <a:ext cx="288131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2447925</xdr:colOff>
      <xdr:row>3</xdr:row>
      <xdr:rowOff>0</xdr:rowOff>
    </xdr:from>
    <xdr:to>
      <xdr:col>16</xdr:col>
      <xdr:colOff>0</xdr:colOff>
      <xdr:row>3</xdr:row>
      <xdr:rowOff>0</xdr:rowOff>
    </xdr:to>
    <xdr:pic>
      <xdr:nvPicPr>
        <xdr:cNvPr id="152" name="ListBox1">
          <a:extLst>
            <a:ext uri="{FF2B5EF4-FFF2-40B4-BE49-F238E27FC236}">
              <a16:creationId xmlns:a16="http://schemas.microsoft.com/office/drawing/2014/main" id="{CEB1A536-1B34-40D2-8B9B-CC18A4B25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8" y="1966913"/>
          <a:ext cx="288131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2457450</xdr:colOff>
      <xdr:row>5</xdr:row>
      <xdr:rowOff>0</xdr:rowOff>
    </xdr:from>
    <xdr:to>
      <xdr:col>16</xdr:col>
      <xdr:colOff>0</xdr:colOff>
      <xdr:row>5</xdr:row>
      <xdr:rowOff>0</xdr:rowOff>
    </xdr:to>
    <xdr:pic>
      <xdr:nvPicPr>
        <xdr:cNvPr id="153" name="ListBox1">
          <a:extLst>
            <a:ext uri="{FF2B5EF4-FFF2-40B4-BE49-F238E27FC236}">
              <a16:creationId xmlns:a16="http://schemas.microsoft.com/office/drawing/2014/main" id="{28AF8FDA-7475-4C4D-9D70-FCF4A6D18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8" y="2852738"/>
          <a:ext cx="288131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2452688</xdr:colOff>
      <xdr:row>6</xdr:row>
      <xdr:rowOff>0</xdr:rowOff>
    </xdr:from>
    <xdr:to>
      <xdr:col>16</xdr:col>
      <xdr:colOff>0</xdr:colOff>
      <xdr:row>6</xdr:row>
      <xdr:rowOff>0</xdr:rowOff>
    </xdr:to>
    <xdr:pic>
      <xdr:nvPicPr>
        <xdr:cNvPr id="154" name="ListBox1">
          <a:extLst>
            <a:ext uri="{FF2B5EF4-FFF2-40B4-BE49-F238E27FC236}">
              <a16:creationId xmlns:a16="http://schemas.microsoft.com/office/drawing/2014/main" id="{39259BB7-A3D6-47C0-A160-D21F7B92A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3252788"/>
          <a:ext cx="4229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2457450</xdr:colOff>
      <xdr:row>5</xdr:row>
      <xdr:rowOff>0</xdr:rowOff>
    </xdr:from>
    <xdr:to>
      <xdr:col>16</xdr:col>
      <xdr:colOff>0</xdr:colOff>
      <xdr:row>5</xdr:row>
      <xdr:rowOff>0</xdr:rowOff>
    </xdr:to>
    <xdr:pic>
      <xdr:nvPicPr>
        <xdr:cNvPr id="155" name="ListBox1">
          <a:extLst>
            <a:ext uri="{FF2B5EF4-FFF2-40B4-BE49-F238E27FC236}">
              <a16:creationId xmlns:a16="http://schemas.microsoft.com/office/drawing/2014/main" id="{19DD3EF0-09EB-4024-841F-F998B21E9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8" y="2852738"/>
          <a:ext cx="288131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2452688</xdr:colOff>
      <xdr:row>6</xdr:row>
      <xdr:rowOff>0</xdr:rowOff>
    </xdr:from>
    <xdr:to>
      <xdr:col>16</xdr:col>
      <xdr:colOff>0</xdr:colOff>
      <xdr:row>6</xdr:row>
      <xdr:rowOff>0</xdr:rowOff>
    </xdr:to>
    <xdr:pic>
      <xdr:nvPicPr>
        <xdr:cNvPr id="156" name="ListBox1">
          <a:extLst>
            <a:ext uri="{FF2B5EF4-FFF2-40B4-BE49-F238E27FC236}">
              <a16:creationId xmlns:a16="http://schemas.microsoft.com/office/drawing/2014/main" id="{F8B28989-EB71-4FCA-AF13-B08DE66F3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3252788"/>
          <a:ext cx="4229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2447925</xdr:colOff>
      <xdr:row>5</xdr:row>
      <xdr:rowOff>0</xdr:rowOff>
    </xdr:from>
    <xdr:to>
      <xdr:col>16</xdr:col>
      <xdr:colOff>0</xdr:colOff>
      <xdr:row>5</xdr:row>
      <xdr:rowOff>0</xdr:rowOff>
    </xdr:to>
    <xdr:pic>
      <xdr:nvPicPr>
        <xdr:cNvPr id="157" name="ListBox1">
          <a:extLst>
            <a:ext uri="{FF2B5EF4-FFF2-40B4-BE49-F238E27FC236}">
              <a16:creationId xmlns:a16="http://schemas.microsoft.com/office/drawing/2014/main" id="{3C345F14-463B-48E0-9824-CE54630E1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8" y="2852738"/>
          <a:ext cx="288131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2447925</xdr:colOff>
      <xdr:row>5</xdr:row>
      <xdr:rowOff>0</xdr:rowOff>
    </xdr:from>
    <xdr:to>
      <xdr:col>16</xdr:col>
      <xdr:colOff>0</xdr:colOff>
      <xdr:row>5</xdr:row>
      <xdr:rowOff>0</xdr:rowOff>
    </xdr:to>
    <xdr:pic>
      <xdr:nvPicPr>
        <xdr:cNvPr id="158" name="ListBox1">
          <a:extLst>
            <a:ext uri="{FF2B5EF4-FFF2-40B4-BE49-F238E27FC236}">
              <a16:creationId xmlns:a16="http://schemas.microsoft.com/office/drawing/2014/main" id="{59579DF5-9DC4-4528-9EAF-569F18AC8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8" y="2852738"/>
          <a:ext cx="288131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1557338</xdr:colOff>
      <xdr:row>12</xdr:row>
      <xdr:rowOff>180975</xdr:rowOff>
    </xdr:from>
    <xdr:to>
      <xdr:col>15</xdr:col>
      <xdr:colOff>1895475</xdr:colOff>
      <xdr:row>12</xdr:row>
      <xdr:rowOff>180975</xdr:rowOff>
    </xdr:to>
    <xdr:pic>
      <xdr:nvPicPr>
        <xdr:cNvPr id="159" name="ListBox1">
          <a:extLst>
            <a:ext uri="{FF2B5EF4-FFF2-40B4-BE49-F238E27FC236}">
              <a16:creationId xmlns:a16="http://schemas.microsoft.com/office/drawing/2014/main" id="{E5C6491D-D0EC-4A49-BCCA-CA69DE1CC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8" y="6034088"/>
          <a:ext cx="288131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2466975</xdr:colOff>
      <xdr:row>7</xdr:row>
      <xdr:rowOff>0</xdr:rowOff>
    </xdr:from>
    <xdr:to>
      <xdr:col>15</xdr:col>
      <xdr:colOff>0</xdr:colOff>
      <xdr:row>7</xdr:row>
      <xdr:rowOff>0</xdr:rowOff>
    </xdr:to>
    <xdr:pic>
      <xdr:nvPicPr>
        <xdr:cNvPr id="160" name="ListBox1">
          <a:extLst>
            <a:ext uri="{FF2B5EF4-FFF2-40B4-BE49-F238E27FC236}">
              <a16:creationId xmlns:a16="http://schemas.microsoft.com/office/drawing/2014/main" id="{1F0175FB-576E-4BE4-ADAE-AED5787E1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8" y="3652838"/>
          <a:ext cx="134778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2466975</xdr:colOff>
      <xdr:row>4</xdr:row>
      <xdr:rowOff>0</xdr:rowOff>
    </xdr:from>
    <xdr:to>
      <xdr:col>15</xdr:col>
      <xdr:colOff>0</xdr:colOff>
      <xdr:row>4</xdr:row>
      <xdr:rowOff>0</xdr:rowOff>
    </xdr:to>
    <xdr:pic>
      <xdr:nvPicPr>
        <xdr:cNvPr id="161" name="ListBox1">
          <a:extLst>
            <a:ext uri="{FF2B5EF4-FFF2-40B4-BE49-F238E27FC236}">
              <a16:creationId xmlns:a16="http://schemas.microsoft.com/office/drawing/2014/main" id="{FBBE0A55-DAF7-4D29-82E4-33C3149AB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8" y="2452688"/>
          <a:ext cx="134778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26</xdr:col>
      <xdr:colOff>762000</xdr:colOff>
      <xdr:row>15</xdr:row>
      <xdr:rowOff>66675</xdr:rowOff>
    </xdr:from>
    <xdr:to>
      <xdr:col>27</xdr:col>
      <xdr:colOff>152400</xdr:colOff>
      <xdr:row>15</xdr:row>
      <xdr:rowOff>66675</xdr:rowOff>
    </xdr:to>
    <xdr:pic>
      <xdr:nvPicPr>
        <xdr:cNvPr id="162" name="ListBox1">
          <a:extLst>
            <a:ext uri="{FF2B5EF4-FFF2-40B4-BE49-F238E27FC236}">
              <a16:creationId xmlns:a16="http://schemas.microsoft.com/office/drawing/2014/main" id="{64B756FF-941E-4653-B501-B335E1FCB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7119938"/>
          <a:ext cx="1619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C7DF-AC13-4637-A752-BB3BC306A5D3}">
  <dimension ref="A1:AV187"/>
  <sheetViews>
    <sheetView tabSelected="1" zoomScale="80" zoomScaleNormal="80" workbookViewId="0">
      <pane ySplit="2" topLeftCell="A92" activePane="bottomLeft" state="frozen"/>
      <selection pane="bottomLeft" activeCell="AK109" sqref="AK109"/>
    </sheetView>
  </sheetViews>
  <sheetFormatPr defaultColWidth="11.53125" defaultRowHeight="12.95" customHeight="1"/>
  <cols>
    <col min="1" max="1" width="10" style="12" customWidth="1"/>
    <col min="2" max="2" width="14.796875" style="12" customWidth="1"/>
    <col min="3" max="4" width="12.1328125" customWidth="1"/>
    <col min="5" max="6" width="12.1328125" style="12" customWidth="1"/>
    <col min="7" max="7" width="16.796875" style="12" bestFit="1" customWidth="1"/>
    <col min="8" max="8" width="34" style="12" bestFit="1" customWidth="1"/>
    <col min="9" max="9" width="17.53125" style="12" bestFit="1" customWidth="1"/>
    <col min="10" max="10" width="9" style="16" bestFit="1" customWidth="1"/>
    <col min="11" max="13" width="12.1328125" customWidth="1"/>
    <col min="14" max="14" width="13.796875" style="12" bestFit="1" customWidth="1"/>
    <col min="15" max="15" width="22" style="12" customWidth="1"/>
    <col min="16" max="16" width="12.1328125" style="12" customWidth="1"/>
    <col min="17" max="17" width="12.1328125" style="16" customWidth="1"/>
    <col min="18" max="18" width="12.1328125" style="12" customWidth="1"/>
    <col min="19" max="23" width="12.1328125" customWidth="1"/>
    <col min="24" max="24" width="35.796875" bestFit="1" customWidth="1"/>
    <col min="25" max="25" width="12.1328125" style="1" customWidth="1"/>
    <col min="26" max="26" width="12.1328125" customWidth="1"/>
    <col min="27" max="27" width="12.1328125" style="21" customWidth="1"/>
    <col min="28" max="28" width="5.796875" style="12" bestFit="1" customWidth="1"/>
    <col min="29" max="29" width="12.1328125" customWidth="1"/>
    <col min="30" max="30" width="12.1328125" style="12" customWidth="1"/>
    <col min="31" max="31" width="4.19921875" style="2" customWidth="1"/>
    <col min="32" max="32" width="39.86328125" style="12" bestFit="1" customWidth="1"/>
    <col min="33" max="33" width="9.86328125" style="23" customWidth="1"/>
    <col min="34" max="34" width="12.1328125" customWidth="1"/>
    <col min="35" max="35" width="23.53125" bestFit="1" customWidth="1"/>
    <col min="36" max="36" width="12.1328125" style="26" customWidth="1"/>
    <col min="37" max="37" width="14.86328125" bestFit="1" customWidth="1"/>
    <col min="38" max="38" width="8.796875" customWidth="1"/>
    <col min="39" max="39" width="6.796875" style="2" customWidth="1"/>
    <col min="40" max="40" width="12.1328125" customWidth="1"/>
    <col min="41" max="41" width="4.46484375" customWidth="1"/>
    <col min="42" max="42" width="12.1328125" customWidth="1"/>
    <col min="43" max="44" width="8.796875" bestFit="1" customWidth="1"/>
    <col min="45" max="46" width="12.1328125" customWidth="1"/>
    <col min="47" max="47" width="30.1328125" bestFit="1" customWidth="1"/>
  </cols>
  <sheetData>
    <row r="1" spans="1:48" s="3" customFormat="1" ht="46.25" customHeight="1">
      <c r="A1" s="10">
        <v>29631670</v>
      </c>
      <c r="B1" s="10"/>
      <c r="E1" s="10">
        <v>10000025</v>
      </c>
      <c r="F1" s="10" t="s">
        <v>0</v>
      </c>
      <c r="G1" s="13" t="s">
        <v>1</v>
      </c>
      <c r="H1" s="13"/>
      <c r="I1" s="13"/>
      <c r="J1" s="13"/>
      <c r="K1" s="4"/>
      <c r="L1" s="3" t="s">
        <v>2</v>
      </c>
      <c r="M1" s="3" t="s">
        <v>3</v>
      </c>
      <c r="N1" s="13" t="s">
        <v>4</v>
      </c>
      <c r="O1" s="13"/>
      <c r="P1" s="13"/>
      <c r="Q1" s="13"/>
      <c r="R1" s="13"/>
      <c r="S1" s="3" t="s">
        <v>5</v>
      </c>
      <c r="T1" s="3" t="s">
        <v>6</v>
      </c>
      <c r="U1" s="3" t="s">
        <v>7</v>
      </c>
      <c r="V1" s="3" t="s">
        <v>8</v>
      </c>
      <c r="W1" s="3" t="s">
        <v>9</v>
      </c>
      <c r="X1" s="3" t="s">
        <v>10</v>
      </c>
      <c r="Y1" s="5" t="s">
        <v>11</v>
      </c>
      <c r="Z1" s="3" t="s">
        <v>12</v>
      </c>
      <c r="AA1" s="18" t="s">
        <v>13</v>
      </c>
      <c r="AB1" s="10" t="s">
        <v>14</v>
      </c>
      <c r="AC1" s="3" t="s">
        <v>15</v>
      </c>
      <c r="AD1" s="10" t="s">
        <v>16</v>
      </c>
      <c r="AE1" s="4" t="s">
        <v>17</v>
      </c>
      <c r="AF1" s="10" t="s">
        <v>18</v>
      </c>
      <c r="AG1" s="22" t="s">
        <v>19</v>
      </c>
      <c r="AH1" s="3" t="s">
        <v>9</v>
      </c>
      <c r="AI1" s="3" t="s">
        <v>10</v>
      </c>
      <c r="AJ1" s="24" t="s">
        <v>11</v>
      </c>
      <c r="AK1" s="3" t="s">
        <v>20</v>
      </c>
      <c r="AM1" s="4"/>
      <c r="AN1" s="3" t="s">
        <v>21</v>
      </c>
      <c r="AO1" s="3" t="s">
        <v>22</v>
      </c>
      <c r="AP1" s="3" t="s">
        <v>23</v>
      </c>
      <c r="AQ1" s="6">
        <v>4.6738999999999997</v>
      </c>
    </row>
    <row r="2" spans="1:48" s="7" customFormat="1" ht="12.75" customHeight="1">
      <c r="A2" s="11" t="s">
        <v>24</v>
      </c>
      <c r="B2" s="11" t="s">
        <v>25</v>
      </c>
      <c r="E2" s="11" t="s">
        <v>26</v>
      </c>
      <c r="F2" s="14" t="s">
        <v>27</v>
      </c>
      <c r="G2" s="11" t="s">
        <v>28</v>
      </c>
      <c r="H2" s="11" t="s">
        <v>29</v>
      </c>
      <c r="I2" s="11" t="s">
        <v>30</v>
      </c>
      <c r="J2" s="15" t="s">
        <v>31</v>
      </c>
      <c r="K2" s="7" t="s">
        <v>32</v>
      </c>
      <c r="L2" s="7" t="s">
        <v>33</v>
      </c>
      <c r="M2" s="7" t="s">
        <v>33</v>
      </c>
      <c r="N2" s="11" t="s">
        <v>34</v>
      </c>
      <c r="O2" s="11" t="s">
        <v>29</v>
      </c>
      <c r="P2" s="11" t="s">
        <v>30</v>
      </c>
      <c r="Q2" s="15" t="s">
        <v>31</v>
      </c>
      <c r="R2" s="11" t="s">
        <v>32</v>
      </c>
      <c r="S2" s="7" t="s">
        <v>35</v>
      </c>
      <c r="T2" s="7" t="s">
        <v>36</v>
      </c>
      <c r="U2" s="7" t="s">
        <v>37</v>
      </c>
      <c r="V2" s="7" t="s">
        <v>38</v>
      </c>
      <c r="W2" s="7" t="s">
        <v>39</v>
      </c>
      <c r="X2" s="7" t="e">
        <f>#N/A</f>
        <v>#N/A</v>
      </c>
      <c r="Y2" s="1" t="s">
        <v>40</v>
      </c>
      <c r="Z2" s="7" t="s">
        <v>41</v>
      </c>
      <c r="AA2" s="19" t="s">
        <v>42</v>
      </c>
      <c r="AB2" s="12"/>
      <c r="AD2" s="11" t="s">
        <v>43</v>
      </c>
      <c r="AE2" s="8"/>
      <c r="AF2" s="11" t="s">
        <v>44</v>
      </c>
      <c r="AG2" s="23" t="s">
        <v>45</v>
      </c>
      <c r="AH2" s="7" t="s">
        <v>39</v>
      </c>
      <c r="AI2" s="7" t="e">
        <f>#N/A</f>
        <v>#N/A</v>
      </c>
      <c r="AJ2" s="25"/>
      <c r="AK2" s="7" t="s">
        <v>46</v>
      </c>
      <c r="AL2" s="7" t="s">
        <v>47</v>
      </c>
      <c r="AM2" s="8"/>
      <c r="AQ2" s="7" t="s">
        <v>48</v>
      </c>
      <c r="AR2" s="7" t="s">
        <v>49</v>
      </c>
      <c r="AS2" s="7" t="s">
        <v>50</v>
      </c>
      <c r="AV2" s="7" t="s">
        <v>51</v>
      </c>
    </row>
    <row r="3" spans="1:48" ht="12.75" customHeight="1">
      <c r="A3" s="12" t="s">
        <v>74</v>
      </c>
      <c r="B3" s="12" t="s">
        <v>142</v>
      </c>
      <c r="C3">
        <v>1</v>
      </c>
      <c r="D3" t="s">
        <v>52</v>
      </c>
      <c r="E3" s="12" t="s">
        <v>258</v>
      </c>
      <c r="F3" s="12" t="s">
        <v>27</v>
      </c>
      <c r="G3" s="27" t="s">
        <v>372</v>
      </c>
      <c r="H3" s="27" t="s">
        <v>478</v>
      </c>
      <c r="I3" s="30" t="s">
        <v>219</v>
      </c>
      <c r="J3" s="16">
        <v>111111</v>
      </c>
      <c r="K3" t="s">
        <v>54</v>
      </c>
      <c r="N3" s="27" t="s">
        <v>621</v>
      </c>
      <c r="O3" s="27" t="s">
        <v>724</v>
      </c>
      <c r="P3" s="30" t="s">
        <v>746</v>
      </c>
      <c r="Q3" s="30" t="s">
        <v>762</v>
      </c>
      <c r="R3" s="12" t="s">
        <v>144</v>
      </c>
      <c r="S3" t="s">
        <v>55</v>
      </c>
      <c r="T3" t="s">
        <v>56</v>
      </c>
      <c r="U3" t="s">
        <v>57</v>
      </c>
      <c r="V3" t="s">
        <v>58</v>
      </c>
      <c r="W3" t="s">
        <v>59</v>
      </c>
      <c r="X3" s="7" t="s">
        <v>60</v>
      </c>
      <c r="Y3" s="1">
        <v>45524</v>
      </c>
      <c r="Z3">
        <v>630900</v>
      </c>
      <c r="AA3" s="32">
        <v>4</v>
      </c>
      <c r="AB3" s="35">
        <v>40</v>
      </c>
      <c r="AC3" s="7" t="s">
        <v>143</v>
      </c>
      <c r="AD3" s="12" t="str">
        <f>IF(AB3&lt;46,"C08","C07")</f>
        <v>C08</v>
      </c>
      <c r="AE3" s="9" t="str">
        <f>IF(AD3="C08","NU","DA")</f>
        <v>NU</v>
      </c>
      <c r="AF3" s="27" t="s">
        <v>201</v>
      </c>
      <c r="AG3" s="30">
        <v>1</v>
      </c>
      <c r="AH3" t="s">
        <v>140</v>
      </c>
      <c r="AI3" s="7" t="s">
        <v>141</v>
      </c>
      <c r="AJ3" s="26">
        <v>46056</v>
      </c>
      <c r="AM3" s="2" t="s">
        <v>53</v>
      </c>
      <c r="AN3">
        <v>0</v>
      </c>
      <c r="AO3">
        <v>0</v>
      </c>
      <c r="AQ3" t="s">
        <v>61</v>
      </c>
      <c r="AR3" t="s">
        <v>62</v>
      </c>
      <c r="AU3" t="s">
        <v>63</v>
      </c>
      <c r="AV3" t="e">
        <f>#REF!</f>
        <v>#REF!</v>
      </c>
    </row>
    <row r="4" spans="1:48" ht="12.95" customHeight="1">
      <c r="A4" s="12" t="s">
        <v>75</v>
      </c>
      <c r="B4" s="12" t="s">
        <v>142</v>
      </c>
      <c r="C4">
        <v>2</v>
      </c>
      <c r="D4" t="s">
        <v>52</v>
      </c>
      <c r="E4" s="12" t="s">
        <v>259</v>
      </c>
      <c r="F4" s="12" t="s">
        <v>27</v>
      </c>
      <c r="G4" s="27" t="s">
        <v>373</v>
      </c>
      <c r="H4" s="27" t="s">
        <v>479</v>
      </c>
      <c r="I4" s="30" t="s">
        <v>215</v>
      </c>
      <c r="J4" s="16">
        <v>111111</v>
      </c>
      <c r="K4" t="s">
        <v>54</v>
      </c>
      <c r="N4" s="27" t="s">
        <v>622</v>
      </c>
      <c r="O4" s="27" t="s">
        <v>725</v>
      </c>
      <c r="P4" s="30" t="s">
        <v>747</v>
      </c>
      <c r="Q4" s="30" t="s">
        <v>763</v>
      </c>
      <c r="R4" s="12" t="s">
        <v>144</v>
      </c>
      <c r="S4" t="s">
        <v>55</v>
      </c>
      <c r="T4" t="s">
        <v>56</v>
      </c>
      <c r="U4" t="s">
        <v>57</v>
      </c>
      <c r="V4" t="s">
        <v>58</v>
      </c>
      <c r="W4" t="s">
        <v>59</v>
      </c>
      <c r="X4" s="7" t="s">
        <v>65</v>
      </c>
      <c r="Y4" s="1">
        <v>45524</v>
      </c>
      <c r="Z4">
        <v>630900</v>
      </c>
      <c r="AA4" s="32">
        <v>7</v>
      </c>
      <c r="AB4" s="35">
        <v>40</v>
      </c>
      <c r="AC4" s="7" t="s">
        <v>143</v>
      </c>
      <c r="AD4" s="12" t="str">
        <f t="shared" ref="AD4:AD67" si="0">IF(AB4&lt;46,"C08","C07")</f>
        <v>C08</v>
      </c>
      <c r="AE4" s="9" t="str">
        <f t="shared" ref="AE4:AE67" si="1">IF(AD4="C08","NU","DA")</f>
        <v>NU</v>
      </c>
      <c r="AF4" s="27" t="s">
        <v>776</v>
      </c>
      <c r="AG4" s="30">
        <v>1</v>
      </c>
      <c r="AH4" t="s">
        <v>140</v>
      </c>
      <c r="AI4" s="7" t="s">
        <v>141</v>
      </c>
      <c r="AJ4" s="26">
        <v>46056</v>
      </c>
      <c r="AM4" s="2" t="s">
        <v>64</v>
      </c>
      <c r="AN4">
        <v>0</v>
      </c>
      <c r="AO4">
        <v>0</v>
      </c>
      <c r="AQ4" t="s">
        <v>66</v>
      </c>
      <c r="AR4" t="s">
        <v>67</v>
      </c>
      <c r="AU4" t="s">
        <v>68</v>
      </c>
      <c r="AV4" t="e">
        <f>#REF!</f>
        <v>#REF!</v>
      </c>
    </row>
    <row r="5" spans="1:48" ht="12.95" customHeight="1">
      <c r="A5" s="12" t="s">
        <v>76</v>
      </c>
      <c r="B5" s="12" t="s">
        <v>142</v>
      </c>
      <c r="C5">
        <v>3</v>
      </c>
      <c r="D5" t="s">
        <v>52</v>
      </c>
      <c r="E5" s="12" t="s">
        <v>260</v>
      </c>
      <c r="F5" s="12" t="s">
        <v>27</v>
      </c>
      <c r="G5" s="27" t="s">
        <v>374</v>
      </c>
      <c r="H5" s="27" t="s">
        <v>480</v>
      </c>
      <c r="I5" s="30" t="s">
        <v>585</v>
      </c>
      <c r="J5" s="16">
        <v>111111</v>
      </c>
      <c r="K5" t="s">
        <v>54</v>
      </c>
      <c r="N5" s="27" t="s">
        <v>623</v>
      </c>
      <c r="O5" s="27" t="s">
        <v>726</v>
      </c>
      <c r="P5" s="30" t="s">
        <v>748</v>
      </c>
      <c r="Q5" s="30" t="s">
        <v>764</v>
      </c>
      <c r="R5" s="12" t="s">
        <v>144</v>
      </c>
      <c r="S5" t="s">
        <v>55</v>
      </c>
      <c r="T5" t="s">
        <v>56</v>
      </c>
      <c r="U5" t="s">
        <v>57</v>
      </c>
      <c r="V5" t="s">
        <v>58</v>
      </c>
      <c r="W5" t="s">
        <v>59</v>
      </c>
      <c r="X5" s="7" t="s">
        <v>71</v>
      </c>
      <c r="Y5" s="1">
        <v>45524</v>
      </c>
      <c r="Z5">
        <v>630900</v>
      </c>
      <c r="AA5" s="32">
        <v>8</v>
      </c>
      <c r="AB5" s="35">
        <v>40</v>
      </c>
      <c r="AC5" s="7" t="s">
        <v>143</v>
      </c>
      <c r="AD5" s="12" t="str">
        <f t="shared" si="0"/>
        <v>C08</v>
      </c>
      <c r="AE5" s="9" t="str">
        <f t="shared" si="1"/>
        <v>NU</v>
      </c>
      <c r="AF5" s="27" t="s">
        <v>777</v>
      </c>
      <c r="AG5" s="30">
        <v>1</v>
      </c>
      <c r="AH5" t="s">
        <v>140</v>
      </c>
      <c r="AI5" s="7" t="s">
        <v>141</v>
      </c>
      <c r="AJ5" s="26">
        <v>46056</v>
      </c>
      <c r="AM5" s="2" t="s">
        <v>69</v>
      </c>
      <c r="AN5">
        <v>0</v>
      </c>
      <c r="AO5">
        <v>0</v>
      </c>
      <c r="AQ5" t="s">
        <v>72</v>
      </c>
      <c r="AR5" t="s">
        <v>73</v>
      </c>
      <c r="AU5" t="s">
        <v>70</v>
      </c>
      <c r="AV5" t="e">
        <f>#REF!</f>
        <v>#REF!</v>
      </c>
    </row>
    <row r="6" spans="1:48" ht="12.95" customHeight="1">
      <c r="A6" s="12" t="s">
        <v>77</v>
      </c>
      <c r="B6" s="12" t="s">
        <v>142</v>
      </c>
      <c r="C6">
        <v>4</v>
      </c>
      <c r="D6" t="s">
        <v>52</v>
      </c>
      <c r="E6" s="12" t="s">
        <v>261</v>
      </c>
      <c r="F6" s="12" t="s">
        <v>27</v>
      </c>
      <c r="G6" s="27" t="s">
        <v>375</v>
      </c>
      <c r="H6" s="27" t="s">
        <v>481</v>
      </c>
      <c r="I6" s="30" t="s">
        <v>215</v>
      </c>
      <c r="J6" s="16">
        <v>111111</v>
      </c>
      <c r="K6" t="s">
        <v>54</v>
      </c>
      <c r="N6" s="27" t="s">
        <v>624</v>
      </c>
      <c r="O6" s="27" t="s">
        <v>727</v>
      </c>
      <c r="P6" s="30" t="s">
        <v>749</v>
      </c>
      <c r="Q6" s="30" t="s">
        <v>255</v>
      </c>
      <c r="R6" s="12" t="s">
        <v>144</v>
      </c>
      <c r="S6" t="s">
        <v>55</v>
      </c>
      <c r="T6" t="s">
        <v>56</v>
      </c>
      <c r="U6" t="s">
        <v>57</v>
      </c>
      <c r="V6" t="s">
        <v>58</v>
      </c>
      <c r="W6" t="s">
        <v>59</v>
      </c>
      <c r="Y6" s="1">
        <v>45524</v>
      </c>
      <c r="Z6">
        <v>630900</v>
      </c>
      <c r="AA6" s="32">
        <v>2</v>
      </c>
      <c r="AB6" s="35">
        <v>40</v>
      </c>
      <c r="AC6" s="7" t="s">
        <v>143</v>
      </c>
      <c r="AD6" s="12" t="str">
        <f t="shared" si="0"/>
        <v>C08</v>
      </c>
      <c r="AE6" s="9" t="str">
        <f t="shared" si="1"/>
        <v>NU</v>
      </c>
      <c r="AF6" s="27" t="s">
        <v>778</v>
      </c>
      <c r="AG6" s="30">
        <v>1</v>
      </c>
      <c r="AH6" t="s">
        <v>140</v>
      </c>
      <c r="AI6" s="7" t="s">
        <v>141</v>
      </c>
      <c r="AJ6" s="26">
        <v>46056</v>
      </c>
    </row>
    <row r="7" spans="1:48" ht="12.95" customHeight="1">
      <c r="A7" s="12" t="s">
        <v>78</v>
      </c>
      <c r="B7" s="12" t="s">
        <v>142</v>
      </c>
      <c r="C7">
        <v>5</v>
      </c>
      <c r="D7" t="s">
        <v>52</v>
      </c>
      <c r="E7" s="12" t="s">
        <v>262</v>
      </c>
      <c r="F7" s="12" t="s">
        <v>27</v>
      </c>
      <c r="G7" s="27" t="s">
        <v>376</v>
      </c>
      <c r="H7" s="27" t="s">
        <v>482</v>
      </c>
      <c r="I7" s="30" t="s">
        <v>215</v>
      </c>
      <c r="J7" s="16">
        <v>111111</v>
      </c>
      <c r="K7" t="s">
        <v>54</v>
      </c>
      <c r="N7" s="27" t="s">
        <v>625</v>
      </c>
      <c r="O7" s="27" t="s">
        <v>728</v>
      </c>
      <c r="P7" s="30" t="s">
        <v>750</v>
      </c>
      <c r="Q7" s="30" t="s">
        <v>765</v>
      </c>
      <c r="R7" s="12" t="s">
        <v>144</v>
      </c>
      <c r="S7" t="s">
        <v>55</v>
      </c>
      <c r="T7" t="s">
        <v>56</v>
      </c>
      <c r="U7" t="s">
        <v>57</v>
      </c>
      <c r="V7" t="s">
        <v>58</v>
      </c>
      <c r="W7" t="s">
        <v>59</v>
      </c>
      <c r="Y7" s="1">
        <v>45524</v>
      </c>
      <c r="Z7">
        <v>630900</v>
      </c>
      <c r="AA7" s="32">
        <v>3</v>
      </c>
      <c r="AB7" s="35">
        <v>40</v>
      </c>
      <c r="AC7" s="7" t="s">
        <v>143</v>
      </c>
      <c r="AD7" s="12" t="str">
        <f t="shared" si="0"/>
        <v>C08</v>
      </c>
      <c r="AE7" s="9" t="str">
        <f t="shared" si="1"/>
        <v>NU</v>
      </c>
      <c r="AF7" s="27" t="s">
        <v>779</v>
      </c>
      <c r="AG7" s="30">
        <v>1</v>
      </c>
      <c r="AH7" t="s">
        <v>140</v>
      </c>
      <c r="AI7" s="7" t="s">
        <v>141</v>
      </c>
      <c r="AJ7" s="26">
        <v>46056</v>
      </c>
    </row>
    <row r="8" spans="1:48" ht="12.95" customHeight="1">
      <c r="A8" s="12" t="s">
        <v>79</v>
      </c>
      <c r="B8" s="12" t="s">
        <v>142</v>
      </c>
      <c r="C8">
        <v>6</v>
      </c>
      <c r="D8" t="s">
        <v>52</v>
      </c>
      <c r="E8" s="12" t="s">
        <v>263</v>
      </c>
      <c r="F8" s="12" t="s">
        <v>27</v>
      </c>
      <c r="G8" s="27" t="s">
        <v>202</v>
      </c>
      <c r="H8" s="27" t="s">
        <v>483</v>
      </c>
      <c r="I8" s="30" t="s">
        <v>586</v>
      </c>
      <c r="J8" s="16">
        <v>111111</v>
      </c>
      <c r="K8" t="s">
        <v>54</v>
      </c>
      <c r="N8" s="27" t="s">
        <v>237</v>
      </c>
      <c r="O8" s="27" t="s">
        <v>246</v>
      </c>
      <c r="P8" s="30" t="s">
        <v>751</v>
      </c>
      <c r="Q8" s="30" t="s">
        <v>145</v>
      </c>
      <c r="R8" s="12" t="s">
        <v>144</v>
      </c>
      <c r="S8" t="s">
        <v>55</v>
      </c>
      <c r="T8" t="s">
        <v>56</v>
      </c>
      <c r="U8" t="s">
        <v>57</v>
      </c>
      <c r="V8" t="s">
        <v>58</v>
      </c>
      <c r="W8" t="s">
        <v>59</v>
      </c>
      <c r="Y8" s="1">
        <v>45524</v>
      </c>
      <c r="Z8">
        <v>630900</v>
      </c>
      <c r="AA8" s="32">
        <v>3</v>
      </c>
      <c r="AB8" s="35">
        <v>40</v>
      </c>
      <c r="AC8" s="7" t="s">
        <v>143</v>
      </c>
      <c r="AD8" s="12" t="str">
        <f t="shared" si="0"/>
        <v>C08</v>
      </c>
      <c r="AE8" s="9" t="str">
        <f t="shared" si="1"/>
        <v>NU</v>
      </c>
      <c r="AF8" s="27" t="s">
        <v>175</v>
      </c>
      <c r="AG8" s="30">
        <v>1</v>
      </c>
      <c r="AH8" t="s">
        <v>140</v>
      </c>
      <c r="AI8" s="7" t="s">
        <v>141</v>
      </c>
      <c r="AJ8" s="26">
        <v>46056</v>
      </c>
    </row>
    <row r="9" spans="1:48" ht="12.95" customHeight="1">
      <c r="A9" s="12" t="s">
        <v>80</v>
      </c>
      <c r="B9" s="12" t="s">
        <v>142</v>
      </c>
      <c r="C9">
        <v>7</v>
      </c>
      <c r="D9" t="s">
        <v>52</v>
      </c>
      <c r="E9" s="12" t="s">
        <v>264</v>
      </c>
      <c r="F9" s="12" t="s">
        <v>27</v>
      </c>
      <c r="G9" s="27" t="s">
        <v>377</v>
      </c>
      <c r="H9" s="27" t="s">
        <v>484</v>
      </c>
      <c r="I9" s="30" t="s">
        <v>587</v>
      </c>
      <c r="J9" s="16">
        <v>111111</v>
      </c>
      <c r="K9" t="s">
        <v>54</v>
      </c>
      <c r="N9" s="27" t="s">
        <v>626</v>
      </c>
      <c r="O9" s="27" t="s">
        <v>196</v>
      </c>
      <c r="P9" s="30" t="s">
        <v>749</v>
      </c>
      <c r="Q9" s="30" t="s">
        <v>146</v>
      </c>
      <c r="R9" s="12" t="s">
        <v>144</v>
      </c>
      <c r="S9" t="s">
        <v>55</v>
      </c>
      <c r="T9" t="s">
        <v>56</v>
      </c>
      <c r="U9" t="s">
        <v>57</v>
      </c>
      <c r="V9" t="s">
        <v>58</v>
      </c>
      <c r="W9" t="s">
        <v>59</v>
      </c>
      <c r="Y9" s="1">
        <v>45524</v>
      </c>
      <c r="Z9">
        <v>630900</v>
      </c>
      <c r="AA9" s="32">
        <v>2</v>
      </c>
      <c r="AB9" s="35">
        <v>40</v>
      </c>
      <c r="AC9" s="7" t="s">
        <v>143</v>
      </c>
      <c r="AD9" s="12" t="str">
        <f t="shared" si="0"/>
        <v>C08</v>
      </c>
      <c r="AE9" s="9" t="str">
        <f t="shared" si="1"/>
        <v>NU</v>
      </c>
      <c r="AF9" s="27" t="s">
        <v>175</v>
      </c>
      <c r="AG9" s="30">
        <v>1</v>
      </c>
      <c r="AH9" t="s">
        <v>140</v>
      </c>
      <c r="AI9" s="7" t="s">
        <v>141</v>
      </c>
      <c r="AJ9" s="26">
        <v>46056</v>
      </c>
    </row>
    <row r="10" spans="1:48" ht="12.95" customHeight="1">
      <c r="A10" s="12" t="s">
        <v>81</v>
      </c>
      <c r="B10" s="12" t="s">
        <v>142</v>
      </c>
      <c r="C10">
        <v>8</v>
      </c>
      <c r="D10" t="s">
        <v>52</v>
      </c>
      <c r="E10" s="12" t="s">
        <v>265</v>
      </c>
      <c r="F10" s="12" t="s">
        <v>27</v>
      </c>
      <c r="G10" s="27" t="s">
        <v>378</v>
      </c>
      <c r="H10" s="27" t="s">
        <v>485</v>
      </c>
      <c r="I10" s="30" t="s">
        <v>219</v>
      </c>
      <c r="J10" s="16">
        <v>111111</v>
      </c>
      <c r="K10" t="s">
        <v>54</v>
      </c>
      <c r="N10" s="27" t="s">
        <v>627</v>
      </c>
      <c r="O10" s="27" t="s">
        <v>247</v>
      </c>
      <c r="P10" s="30" t="s">
        <v>749</v>
      </c>
      <c r="Q10" s="30" t="s">
        <v>146</v>
      </c>
      <c r="R10" s="12" t="s">
        <v>144</v>
      </c>
      <c r="S10" t="s">
        <v>55</v>
      </c>
      <c r="T10" t="s">
        <v>56</v>
      </c>
      <c r="U10" t="s">
        <v>57</v>
      </c>
      <c r="V10" t="s">
        <v>58</v>
      </c>
      <c r="W10" t="s">
        <v>59</v>
      </c>
      <c r="Y10" s="1">
        <v>45524</v>
      </c>
      <c r="Z10">
        <v>630900</v>
      </c>
      <c r="AA10" s="32">
        <v>4</v>
      </c>
      <c r="AB10" s="35">
        <v>40</v>
      </c>
      <c r="AC10" s="7" t="s">
        <v>143</v>
      </c>
      <c r="AD10" s="12" t="str">
        <f t="shared" si="0"/>
        <v>C08</v>
      </c>
      <c r="AE10" s="9" t="str">
        <f t="shared" si="1"/>
        <v>NU</v>
      </c>
      <c r="AF10" s="27" t="s">
        <v>175</v>
      </c>
      <c r="AG10" s="30">
        <v>1</v>
      </c>
      <c r="AH10" t="s">
        <v>140</v>
      </c>
      <c r="AI10" s="7" t="s">
        <v>141</v>
      </c>
      <c r="AJ10" s="26">
        <v>46056</v>
      </c>
    </row>
    <row r="11" spans="1:48" ht="12.95" customHeight="1">
      <c r="A11" s="12" t="s">
        <v>82</v>
      </c>
      <c r="B11" s="12" t="s">
        <v>142</v>
      </c>
      <c r="C11">
        <v>9</v>
      </c>
      <c r="D11" t="s">
        <v>52</v>
      </c>
      <c r="E11" s="12" t="s">
        <v>266</v>
      </c>
      <c r="F11" s="12" t="s">
        <v>27</v>
      </c>
      <c r="G11" s="27" t="s">
        <v>379</v>
      </c>
      <c r="H11" s="27" t="s">
        <v>486</v>
      </c>
      <c r="I11" s="30" t="s">
        <v>232</v>
      </c>
      <c r="J11" s="16">
        <v>111111</v>
      </c>
      <c r="K11" t="s">
        <v>54</v>
      </c>
      <c r="N11" s="27" t="s">
        <v>628</v>
      </c>
      <c r="O11" s="27" t="s">
        <v>247</v>
      </c>
      <c r="P11" s="30" t="s">
        <v>749</v>
      </c>
      <c r="Q11" s="30" t="s">
        <v>146</v>
      </c>
      <c r="R11" s="12" t="s">
        <v>144</v>
      </c>
      <c r="S11" t="s">
        <v>55</v>
      </c>
      <c r="T11" t="s">
        <v>56</v>
      </c>
      <c r="U11" t="s">
        <v>57</v>
      </c>
      <c r="V11" t="s">
        <v>58</v>
      </c>
      <c r="W11" t="s">
        <v>59</v>
      </c>
      <c r="Y11" s="1">
        <v>45524</v>
      </c>
      <c r="Z11">
        <v>630900</v>
      </c>
      <c r="AA11" s="32">
        <v>3</v>
      </c>
      <c r="AB11" s="35">
        <v>40</v>
      </c>
      <c r="AC11" s="7" t="s">
        <v>143</v>
      </c>
      <c r="AD11" s="12" t="str">
        <f t="shared" si="0"/>
        <v>C08</v>
      </c>
      <c r="AE11" s="9" t="str">
        <f t="shared" si="1"/>
        <v>NU</v>
      </c>
      <c r="AF11" s="27" t="s">
        <v>201</v>
      </c>
      <c r="AG11" s="30">
        <v>1</v>
      </c>
      <c r="AH11" t="s">
        <v>140</v>
      </c>
      <c r="AI11" s="7" t="s">
        <v>141</v>
      </c>
      <c r="AJ11" s="26">
        <v>46056</v>
      </c>
    </row>
    <row r="12" spans="1:48" ht="12.95" customHeight="1">
      <c r="A12" s="12" t="s">
        <v>83</v>
      </c>
      <c r="B12" s="12" t="s">
        <v>142</v>
      </c>
      <c r="C12">
        <v>10</v>
      </c>
      <c r="D12" t="s">
        <v>52</v>
      </c>
      <c r="E12" s="12" t="s">
        <v>267</v>
      </c>
      <c r="F12" s="12" t="s">
        <v>27</v>
      </c>
      <c r="G12" s="27" t="s">
        <v>380</v>
      </c>
      <c r="H12" s="27" t="s">
        <v>487</v>
      </c>
      <c r="I12" s="30" t="s">
        <v>215</v>
      </c>
      <c r="J12" s="16">
        <v>111111</v>
      </c>
      <c r="K12" t="s">
        <v>54</v>
      </c>
      <c r="N12" s="27" t="s">
        <v>629</v>
      </c>
      <c r="O12" s="27" t="s">
        <v>196</v>
      </c>
      <c r="P12" s="30" t="s">
        <v>749</v>
      </c>
      <c r="Q12" s="30" t="s">
        <v>146</v>
      </c>
      <c r="R12" s="12" t="s">
        <v>144</v>
      </c>
      <c r="S12" t="s">
        <v>55</v>
      </c>
      <c r="T12" t="s">
        <v>56</v>
      </c>
      <c r="U12" t="s">
        <v>57</v>
      </c>
      <c r="V12" t="s">
        <v>58</v>
      </c>
      <c r="W12" t="s">
        <v>59</v>
      </c>
      <c r="Y12" s="1">
        <v>45524</v>
      </c>
      <c r="Z12">
        <v>630900</v>
      </c>
      <c r="AA12" s="32">
        <v>3</v>
      </c>
      <c r="AB12" s="35">
        <v>40</v>
      </c>
      <c r="AC12" s="7" t="s">
        <v>143</v>
      </c>
      <c r="AD12" s="12" t="str">
        <f t="shared" si="0"/>
        <v>C08</v>
      </c>
      <c r="AE12" s="9" t="str">
        <f t="shared" si="1"/>
        <v>NU</v>
      </c>
      <c r="AF12" s="27" t="s">
        <v>780</v>
      </c>
      <c r="AG12" s="30">
        <v>1</v>
      </c>
      <c r="AH12" t="s">
        <v>140</v>
      </c>
      <c r="AI12" s="7" t="s">
        <v>141</v>
      </c>
      <c r="AJ12" s="26">
        <v>46056</v>
      </c>
    </row>
    <row r="13" spans="1:48" ht="12.95" customHeight="1">
      <c r="A13" s="12" t="s">
        <v>84</v>
      </c>
      <c r="B13" s="12" t="s">
        <v>142</v>
      </c>
      <c r="C13">
        <v>11</v>
      </c>
      <c r="D13" t="s">
        <v>52</v>
      </c>
      <c r="E13" s="12" t="s">
        <v>268</v>
      </c>
      <c r="F13" s="12" t="s">
        <v>27</v>
      </c>
      <c r="G13" s="27" t="s">
        <v>381</v>
      </c>
      <c r="H13" s="27" t="s">
        <v>488</v>
      </c>
      <c r="I13" s="30" t="s">
        <v>222</v>
      </c>
      <c r="J13" s="16">
        <v>111111</v>
      </c>
      <c r="K13" t="s">
        <v>54</v>
      </c>
      <c r="N13" s="27" t="s">
        <v>630</v>
      </c>
      <c r="O13" s="27" t="s">
        <v>729</v>
      </c>
      <c r="P13" s="30" t="s">
        <v>749</v>
      </c>
      <c r="Q13" s="30" t="s">
        <v>766</v>
      </c>
      <c r="R13" s="12" t="s">
        <v>144</v>
      </c>
      <c r="S13" t="s">
        <v>55</v>
      </c>
      <c r="T13" t="s">
        <v>56</v>
      </c>
      <c r="U13" t="s">
        <v>57</v>
      </c>
      <c r="V13" t="s">
        <v>58</v>
      </c>
      <c r="W13" t="s">
        <v>59</v>
      </c>
      <c r="Y13" s="1">
        <v>45524</v>
      </c>
      <c r="Z13">
        <v>630900</v>
      </c>
      <c r="AA13" s="32">
        <v>8</v>
      </c>
      <c r="AB13" s="35">
        <v>40</v>
      </c>
      <c r="AC13" s="7" t="s">
        <v>143</v>
      </c>
      <c r="AD13" s="12" t="str">
        <f t="shared" si="0"/>
        <v>C08</v>
      </c>
      <c r="AE13" s="9" t="str">
        <f t="shared" si="1"/>
        <v>NU</v>
      </c>
      <c r="AF13" s="27" t="s">
        <v>781</v>
      </c>
      <c r="AG13" s="30">
        <v>1</v>
      </c>
      <c r="AH13" t="s">
        <v>140</v>
      </c>
      <c r="AI13" s="7" t="s">
        <v>141</v>
      </c>
      <c r="AJ13" s="26">
        <v>46056</v>
      </c>
    </row>
    <row r="14" spans="1:48" ht="12.95" customHeight="1">
      <c r="A14" s="12" t="s">
        <v>85</v>
      </c>
      <c r="B14" s="12" t="s">
        <v>142</v>
      </c>
      <c r="C14">
        <v>12</v>
      </c>
      <c r="D14" t="s">
        <v>52</v>
      </c>
      <c r="E14" s="12" t="s">
        <v>269</v>
      </c>
      <c r="F14" s="12" t="s">
        <v>27</v>
      </c>
      <c r="G14" s="27" t="s">
        <v>382</v>
      </c>
      <c r="H14" s="27" t="s">
        <v>489</v>
      </c>
      <c r="I14" s="30" t="s">
        <v>588</v>
      </c>
      <c r="J14" s="16">
        <v>111111</v>
      </c>
      <c r="K14" t="s">
        <v>54</v>
      </c>
      <c r="N14" s="27" t="s">
        <v>631</v>
      </c>
      <c r="O14" s="27" t="s">
        <v>194</v>
      </c>
      <c r="P14" s="30" t="s">
        <v>749</v>
      </c>
      <c r="Q14" s="30" t="s">
        <v>146</v>
      </c>
      <c r="R14" s="12" t="s">
        <v>144</v>
      </c>
      <c r="S14" t="s">
        <v>55</v>
      </c>
      <c r="T14" t="s">
        <v>56</v>
      </c>
      <c r="U14" t="s">
        <v>57</v>
      </c>
      <c r="V14" t="s">
        <v>58</v>
      </c>
      <c r="W14" t="s">
        <v>59</v>
      </c>
      <c r="Y14" s="1">
        <v>45524</v>
      </c>
      <c r="Z14">
        <v>630900</v>
      </c>
      <c r="AA14" s="32">
        <v>7</v>
      </c>
      <c r="AB14" s="35">
        <v>40</v>
      </c>
      <c r="AC14" s="7" t="s">
        <v>143</v>
      </c>
      <c r="AD14" s="12" t="str">
        <f t="shared" si="0"/>
        <v>C08</v>
      </c>
      <c r="AE14" s="9" t="str">
        <f t="shared" si="1"/>
        <v>NU</v>
      </c>
      <c r="AF14" s="27" t="s">
        <v>176</v>
      </c>
      <c r="AG14" s="30">
        <v>2</v>
      </c>
      <c r="AH14" t="s">
        <v>140</v>
      </c>
      <c r="AI14" s="7" t="s">
        <v>141</v>
      </c>
      <c r="AJ14" s="26">
        <v>46056</v>
      </c>
    </row>
    <row r="15" spans="1:48" ht="12.95" customHeight="1">
      <c r="A15" s="12" t="s">
        <v>86</v>
      </c>
      <c r="B15" s="12" t="s">
        <v>142</v>
      </c>
      <c r="C15">
        <v>13</v>
      </c>
      <c r="D15" t="s">
        <v>52</v>
      </c>
      <c r="E15" s="12" t="s">
        <v>270</v>
      </c>
      <c r="F15" s="12" t="s">
        <v>27</v>
      </c>
      <c r="G15" s="27" t="s">
        <v>383</v>
      </c>
      <c r="H15" s="27" t="s">
        <v>490</v>
      </c>
      <c r="I15" s="30" t="s">
        <v>589</v>
      </c>
      <c r="J15" s="16">
        <v>111111</v>
      </c>
      <c r="K15" t="s">
        <v>54</v>
      </c>
      <c r="N15" s="27" t="s">
        <v>632</v>
      </c>
      <c r="O15" s="27" t="s">
        <v>196</v>
      </c>
      <c r="P15" s="30" t="s">
        <v>749</v>
      </c>
      <c r="Q15" s="30" t="s">
        <v>146</v>
      </c>
      <c r="R15" s="12" t="s">
        <v>144</v>
      </c>
      <c r="S15" t="s">
        <v>55</v>
      </c>
      <c r="T15" t="s">
        <v>56</v>
      </c>
      <c r="U15" t="s">
        <v>57</v>
      </c>
      <c r="V15" t="s">
        <v>58</v>
      </c>
      <c r="W15" t="s">
        <v>59</v>
      </c>
      <c r="Y15" s="1">
        <v>45524</v>
      </c>
      <c r="Z15">
        <v>630900</v>
      </c>
      <c r="AA15" s="32">
        <v>9</v>
      </c>
      <c r="AB15" s="35">
        <v>40</v>
      </c>
      <c r="AC15" s="7" t="s">
        <v>143</v>
      </c>
      <c r="AD15" s="12" t="str">
        <f t="shared" si="0"/>
        <v>C08</v>
      </c>
      <c r="AE15" s="9" t="str">
        <f t="shared" si="1"/>
        <v>NU</v>
      </c>
      <c r="AF15" s="27" t="s">
        <v>176</v>
      </c>
      <c r="AG15" s="30">
        <v>2</v>
      </c>
      <c r="AH15" t="s">
        <v>140</v>
      </c>
      <c r="AI15" s="7" t="s">
        <v>141</v>
      </c>
      <c r="AJ15" s="26">
        <v>46056</v>
      </c>
    </row>
    <row r="16" spans="1:48" ht="12.95" customHeight="1">
      <c r="A16" s="12" t="s">
        <v>87</v>
      </c>
      <c r="B16" s="12" t="s">
        <v>142</v>
      </c>
      <c r="C16">
        <v>14</v>
      </c>
      <c r="D16" t="s">
        <v>52</v>
      </c>
      <c r="E16" s="12" t="s">
        <v>271</v>
      </c>
      <c r="F16" s="12" t="s">
        <v>27</v>
      </c>
      <c r="G16" s="27" t="s">
        <v>384</v>
      </c>
      <c r="H16" s="27" t="s">
        <v>491</v>
      </c>
      <c r="I16" s="30" t="s">
        <v>590</v>
      </c>
      <c r="J16" s="16">
        <v>111111</v>
      </c>
      <c r="K16" t="s">
        <v>54</v>
      </c>
      <c r="N16" s="27" t="s">
        <v>633</v>
      </c>
      <c r="O16" s="27" t="s">
        <v>247</v>
      </c>
      <c r="P16" s="30" t="s">
        <v>749</v>
      </c>
      <c r="Q16" s="30" t="s">
        <v>146</v>
      </c>
      <c r="R16" s="12" t="s">
        <v>144</v>
      </c>
      <c r="S16" t="s">
        <v>55</v>
      </c>
      <c r="T16" t="s">
        <v>56</v>
      </c>
      <c r="U16" t="s">
        <v>57</v>
      </c>
      <c r="V16" t="s">
        <v>58</v>
      </c>
      <c r="W16" t="s">
        <v>59</v>
      </c>
      <c r="Y16" s="1">
        <v>45524</v>
      </c>
      <c r="Z16">
        <v>630900</v>
      </c>
      <c r="AA16" s="32">
        <v>10</v>
      </c>
      <c r="AB16" s="35">
        <v>40</v>
      </c>
      <c r="AC16" s="7" t="s">
        <v>143</v>
      </c>
      <c r="AD16" s="12" t="str">
        <f t="shared" si="0"/>
        <v>C08</v>
      </c>
      <c r="AE16" s="9" t="str">
        <f t="shared" si="1"/>
        <v>NU</v>
      </c>
      <c r="AF16" s="27" t="s">
        <v>782</v>
      </c>
      <c r="AG16" s="30">
        <v>4</v>
      </c>
      <c r="AH16" t="s">
        <v>140</v>
      </c>
      <c r="AI16" s="7" t="s">
        <v>141</v>
      </c>
      <c r="AJ16" s="26">
        <v>46056</v>
      </c>
    </row>
    <row r="17" spans="1:36" ht="12.95" customHeight="1">
      <c r="A17" s="12" t="s">
        <v>88</v>
      </c>
      <c r="B17" s="12" t="s">
        <v>142</v>
      </c>
      <c r="C17">
        <v>15</v>
      </c>
      <c r="D17" t="s">
        <v>52</v>
      </c>
      <c r="E17" s="12" t="s">
        <v>272</v>
      </c>
      <c r="F17" s="12" t="s">
        <v>27</v>
      </c>
      <c r="G17" s="27" t="s">
        <v>385</v>
      </c>
      <c r="H17" s="27" t="s">
        <v>492</v>
      </c>
      <c r="I17" s="30" t="s">
        <v>591</v>
      </c>
      <c r="J17" s="16">
        <v>111111</v>
      </c>
      <c r="K17" t="s">
        <v>54</v>
      </c>
      <c r="N17" s="27" t="s">
        <v>634</v>
      </c>
      <c r="O17" s="27" t="s">
        <v>194</v>
      </c>
      <c r="P17" s="30" t="s">
        <v>749</v>
      </c>
      <c r="Q17" s="30" t="s">
        <v>146</v>
      </c>
      <c r="R17" s="12" t="s">
        <v>144</v>
      </c>
      <c r="S17" t="s">
        <v>55</v>
      </c>
      <c r="T17" t="s">
        <v>56</v>
      </c>
      <c r="U17" t="s">
        <v>57</v>
      </c>
      <c r="V17" t="s">
        <v>58</v>
      </c>
      <c r="W17" t="s">
        <v>59</v>
      </c>
      <c r="Y17" s="1">
        <v>45524</v>
      </c>
      <c r="Z17">
        <v>630900</v>
      </c>
      <c r="AA17" s="32">
        <v>23</v>
      </c>
      <c r="AB17" s="35">
        <v>40</v>
      </c>
      <c r="AC17" s="7" t="s">
        <v>143</v>
      </c>
      <c r="AD17" s="12" t="str">
        <f t="shared" si="0"/>
        <v>C08</v>
      </c>
      <c r="AE17" s="9" t="str">
        <f t="shared" si="1"/>
        <v>NU</v>
      </c>
      <c r="AF17" s="27" t="s">
        <v>783</v>
      </c>
      <c r="AG17" s="30">
        <v>1</v>
      </c>
      <c r="AH17" t="s">
        <v>140</v>
      </c>
      <c r="AI17" s="7" t="s">
        <v>141</v>
      </c>
      <c r="AJ17" s="26">
        <v>46056</v>
      </c>
    </row>
    <row r="18" spans="1:36" ht="12.95" customHeight="1">
      <c r="A18" s="12" t="s">
        <v>89</v>
      </c>
      <c r="B18" s="12" t="s">
        <v>142</v>
      </c>
      <c r="C18">
        <v>16</v>
      </c>
      <c r="D18" t="s">
        <v>52</v>
      </c>
      <c r="E18" s="12" t="s">
        <v>273</v>
      </c>
      <c r="F18" s="12" t="s">
        <v>27</v>
      </c>
      <c r="G18" s="27" t="s">
        <v>386</v>
      </c>
      <c r="H18" s="27" t="s">
        <v>493</v>
      </c>
      <c r="I18" s="30" t="s">
        <v>215</v>
      </c>
      <c r="J18" s="16">
        <v>111111</v>
      </c>
      <c r="K18" t="s">
        <v>54</v>
      </c>
      <c r="N18" s="27" t="s">
        <v>635</v>
      </c>
      <c r="O18" s="27" t="s">
        <v>730</v>
      </c>
      <c r="P18" s="30" t="s">
        <v>749</v>
      </c>
      <c r="Q18" s="30" t="s">
        <v>146</v>
      </c>
      <c r="R18" s="12" t="s">
        <v>144</v>
      </c>
      <c r="S18" t="s">
        <v>55</v>
      </c>
      <c r="T18" t="s">
        <v>56</v>
      </c>
      <c r="U18" t="s">
        <v>57</v>
      </c>
      <c r="V18" t="s">
        <v>58</v>
      </c>
      <c r="W18" t="s">
        <v>59</v>
      </c>
      <c r="Y18" s="1">
        <v>45524</v>
      </c>
      <c r="Z18">
        <v>630900</v>
      </c>
      <c r="AA18" s="32">
        <v>21</v>
      </c>
      <c r="AB18" s="35">
        <v>60</v>
      </c>
      <c r="AC18" s="7" t="s">
        <v>143</v>
      </c>
      <c r="AD18" s="12" t="str">
        <f t="shared" si="0"/>
        <v>C07</v>
      </c>
      <c r="AE18" s="9" t="str">
        <f t="shared" si="1"/>
        <v>DA</v>
      </c>
      <c r="AF18" s="27" t="s">
        <v>784</v>
      </c>
      <c r="AG18" s="30">
        <v>1</v>
      </c>
      <c r="AH18" t="s">
        <v>140</v>
      </c>
      <c r="AI18" s="7" t="s">
        <v>141</v>
      </c>
      <c r="AJ18" s="26">
        <v>46056</v>
      </c>
    </row>
    <row r="19" spans="1:36" ht="12.95" customHeight="1">
      <c r="A19" s="12" t="s">
        <v>90</v>
      </c>
      <c r="B19" s="12" t="s">
        <v>142</v>
      </c>
      <c r="C19">
        <v>17</v>
      </c>
      <c r="D19" t="s">
        <v>52</v>
      </c>
      <c r="E19" s="12" t="s">
        <v>274</v>
      </c>
      <c r="F19" s="12" t="s">
        <v>27</v>
      </c>
      <c r="G19" s="27" t="s">
        <v>387</v>
      </c>
      <c r="H19" s="27" t="s">
        <v>494</v>
      </c>
      <c r="I19" s="30" t="s">
        <v>217</v>
      </c>
      <c r="J19" s="16">
        <v>111111</v>
      </c>
      <c r="K19" t="s">
        <v>54</v>
      </c>
      <c r="N19" s="27" t="s">
        <v>636</v>
      </c>
      <c r="O19" s="27" t="s">
        <v>730</v>
      </c>
      <c r="P19" s="30" t="s">
        <v>749</v>
      </c>
      <c r="Q19" s="30" t="s">
        <v>146</v>
      </c>
      <c r="R19" s="12" t="s">
        <v>144</v>
      </c>
      <c r="S19" t="s">
        <v>55</v>
      </c>
      <c r="T19" t="s">
        <v>56</v>
      </c>
      <c r="U19" t="s">
        <v>57</v>
      </c>
      <c r="V19" t="s">
        <v>58</v>
      </c>
      <c r="W19" t="s">
        <v>59</v>
      </c>
      <c r="Y19" s="1">
        <v>45524</v>
      </c>
      <c r="Z19">
        <v>630900</v>
      </c>
      <c r="AA19" s="32">
        <v>18</v>
      </c>
      <c r="AB19" s="35">
        <v>120</v>
      </c>
      <c r="AC19" s="7" t="s">
        <v>143</v>
      </c>
      <c r="AD19" s="12" t="str">
        <f t="shared" si="0"/>
        <v>C07</v>
      </c>
      <c r="AE19" s="9" t="str">
        <f t="shared" si="1"/>
        <v>DA</v>
      </c>
      <c r="AF19" s="27" t="s">
        <v>785</v>
      </c>
      <c r="AG19" s="30">
        <v>1</v>
      </c>
      <c r="AH19" t="s">
        <v>140</v>
      </c>
      <c r="AI19" s="7" t="s">
        <v>141</v>
      </c>
      <c r="AJ19" s="26">
        <v>46056</v>
      </c>
    </row>
    <row r="20" spans="1:36" ht="12.95" customHeight="1">
      <c r="A20" s="12" t="s">
        <v>91</v>
      </c>
      <c r="B20" s="12" t="s">
        <v>142</v>
      </c>
      <c r="C20">
        <v>18</v>
      </c>
      <c r="D20" t="s">
        <v>52</v>
      </c>
      <c r="E20" s="12" t="s">
        <v>275</v>
      </c>
      <c r="F20" s="12" t="s">
        <v>27</v>
      </c>
      <c r="G20" s="27" t="s">
        <v>388</v>
      </c>
      <c r="H20" s="27" t="s">
        <v>495</v>
      </c>
      <c r="I20" s="30" t="s">
        <v>592</v>
      </c>
      <c r="J20" s="16">
        <v>111111</v>
      </c>
      <c r="K20" t="s">
        <v>54</v>
      </c>
      <c r="N20" s="27" t="s">
        <v>637</v>
      </c>
      <c r="O20" s="27" t="s">
        <v>247</v>
      </c>
      <c r="P20" s="30" t="s">
        <v>749</v>
      </c>
      <c r="Q20" s="30" t="s">
        <v>146</v>
      </c>
      <c r="R20" s="12" t="s">
        <v>144</v>
      </c>
      <c r="S20" t="s">
        <v>55</v>
      </c>
      <c r="T20" t="s">
        <v>56</v>
      </c>
      <c r="U20" t="s">
        <v>57</v>
      </c>
      <c r="V20" t="s">
        <v>58</v>
      </c>
      <c r="W20" t="s">
        <v>59</v>
      </c>
      <c r="Y20" s="1">
        <v>45524</v>
      </c>
      <c r="Z20">
        <v>630900</v>
      </c>
      <c r="AA20" s="32">
        <v>4</v>
      </c>
      <c r="AB20" s="35">
        <v>40</v>
      </c>
      <c r="AC20" s="7" t="s">
        <v>143</v>
      </c>
      <c r="AD20" s="12" t="str">
        <f t="shared" si="0"/>
        <v>C08</v>
      </c>
      <c r="AE20" s="9" t="str">
        <f t="shared" si="1"/>
        <v>NU</v>
      </c>
      <c r="AF20" s="27" t="s">
        <v>176</v>
      </c>
      <c r="AG20" s="30">
        <v>1</v>
      </c>
      <c r="AH20" t="s">
        <v>140</v>
      </c>
      <c r="AI20" s="7" t="s">
        <v>141</v>
      </c>
      <c r="AJ20" s="26">
        <v>46056</v>
      </c>
    </row>
    <row r="21" spans="1:36" ht="12.95" customHeight="1">
      <c r="A21" s="12" t="s">
        <v>92</v>
      </c>
      <c r="B21" s="12" t="s">
        <v>142</v>
      </c>
      <c r="C21">
        <v>19</v>
      </c>
      <c r="D21" t="s">
        <v>52</v>
      </c>
      <c r="E21" s="12" t="s">
        <v>276</v>
      </c>
      <c r="F21" s="12" t="s">
        <v>27</v>
      </c>
      <c r="G21" s="27" t="s">
        <v>190</v>
      </c>
      <c r="H21" s="27" t="s">
        <v>208</v>
      </c>
      <c r="I21" s="30" t="s">
        <v>223</v>
      </c>
      <c r="J21" s="16">
        <v>111111</v>
      </c>
      <c r="K21" t="s">
        <v>54</v>
      </c>
      <c r="N21" s="27" t="s">
        <v>192</v>
      </c>
      <c r="O21" s="27" t="s">
        <v>247</v>
      </c>
      <c r="P21" s="30" t="s">
        <v>749</v>
      </c>
      <c r="Q21" s="30" t="s">
        <v>146</v>
      </c>
      <c r="R21" s="12" t="s">
        <v>144</v>
      </c>
      <c r="S21" t="s">
        <v>55</v>
      </c>
      <c r="T21" t="s">
        <v>56</v>
      </c>
      <c r="U21" t="s">
        <v>57</v>
      </c>
      <c r="V21" t="s">
        <v>58</v>
      </c>
      <c r="W21" t="s">
        <v>59</v>
      </c>
      <c r="Y21" s="1">
        <v>45524</v>
      </c>
      <c r="Z21">
        <v>630900</v>
      </c>
      <c r="AA21" s="32">
        <v>13</v>
      </c>
      <c r="AB21" s="35">
        <v>40</v>
      </c>
      <c r="AC21" s="7" t="s">
        <v>143</v>
      </c>
      <c r="AD21" s="12" t="str">
        <f t="shared" si="0"/>
        <v>C08</v>
      </c>
      <c r="AE21" s="9" t="str">
        <f t="shared" si="1"/>
        <v>NU</v>
      </c>
      <c r="AF21" s="27" t="s">
        <v>786</v>
      </c>
      <c r="AG21" s="30">
        <v>1</v>
      </c>
      <c r="AH21" t="s">
        <v>140</v>
      </c>
      <c r="AI21" s="7" t="s">
        <v>141</v>
      </c>
      <c r="AJ21" s="26">
        <v>46056</v>
      </c>
    </row>
    <row r="22" spans="1:36" ht="12.95" customHeight="1">
      <c r="A22" s="12" t="s">
        <v>93</v>
      </c>
      <c r="B22" s="12" t="s">
        <v>142</v>
      </c>
      <c r="C22">
        <v>20</v>
      </c>
      <c r="D22" t="s">
        <v>52</v>
      </c>
      <c r="E22" s="12" t="s">
        <v>277</v>
      </c>
      <c r="F22" s="12" t="s">
        <v>27</v>
      </c>
      <c r="G22" s="27" t="s">
        <v>389</v>
      </c>
      <c r="H22" s="27" t="s">
        <v>496</v>
      </c>
      <c r="I22" s="30" t="s">
        <v>593</v>
      </c>
      <c r="J22" s="16">
        <v>111111</v>
      </c>
      <c r="K22" t="s">
        <v>54</v>
      </c>
      <c r="N22" s="27" t="s">
        <v>638</v>
      </c>
      <c r="O22" s="27" t="s">
        <v>731</v>
      </c>
      <c r="P22" s="30" t="s">
        <v>752</v>
      </c>
      <c r="Q22" s="30" t="s">
        <v>767</v>
      </c>
      <c r="R22" s="12" t="s">
        <v>144</v>
      </c>
      <c r="S22" t="s">
        <v>55</v>
      </c>
      <c r="T22" t="s">
        <v>56</v>
      </c>
      <c r="U22" t="s">
        <v>57</v>
      </c>
      <c r="V22" t="s">
        <v>58</v>
      </c>
      <c r="W22" t="s">
        <v>59</v>
      </c>
      <c r="Y22" s="1">
        <v>45524</v>
      </c>
      <c r="Z22">
        <v>630900</v>
      </c>
      <c r="AA22" s="32">
        <v>8</v>
      </c>
      <c r="AB22" s="35">
        <v>40</v>
      </c>
      <c r="AC22" s="7" t="s">
        <v>143</v>
      </c>
      <c r="AD22" s="12" t="str">
        <f t="shared" si="0"/>
        <v>C08</v>
      </c>
      <c r="AE22" s="9" t="str">
        <f t="shared" si="1"/>
        <v>NU</v>
      </c>
      <c r="AF22" s="27" t="s">
        <v>787</v>
      </c>
      <c r="AG22" s="30">
        <v>1</v>
      </c>
      <c r="AH22" t="s">
        <v>140</v>
      </c>
      <c r="AI22" s="7" t="s">
        <v>141</v>
      </c>
      <c r="AJ22" s="26">
        <v>46056</v>
      </c>
    </row>
    <row r="23" spans="1:36" ht="12.95" customHeight="1">
      <c r="A23" s="12" t="s">
        <v>94</v>
      </c>
      <c r="B23" s="12" t="s">
        <v>142</v>
      </c>
      <c r="C23">
        <v>21</v>
      </c>
      <c r="D23" t="s">
        <v>52</v>
      </c>
      <c r="E23" s="12" t="s">
        <v>278</v>
      </c>
      <c r="F23" s="12" t="s">
        <v>27</v>
      </c>
      <c r="G23" s="27" t="s">
        <v>390</v>
      </c>
      <c r="H23" s="27" t="s">
        <v>497</v>
      </c>
      <c r="I23" s="30" t="s">
        <v>227</v>
      </c>
      <c r="J23" s="16">
        <v>111111</v>
      </c>
      <c r="K23" t="s">
        <v>54</v>
      </c>
      <c r="N23" s="27" t="s">
        <v>639</v>
      </c>
      <c r="O23" s="27" t="s">
        <v>730</v>
      </c>
      <c r="P23" s="30" t="s">
        <v>749</v>
      </c>
      <c r="Q23" s="30" t="s">
        <v>146</v>
      </c>
      <c r="R23" s="12" t="s">
        <v>144</v>
      </c>
      <c r="S23" t="s">
        <v>55</v>
      </c>
      <c r="T23" t="s">
        <v>56</v>
      </c>
      <c r="U23" t="s">
        <v>57</v>
      </c>
      <c r="V23" t="s">
        <v>58</v>
      </c>
      <c r="W23" t="s">
        <v>59</v>
      </c>
      <c r="Y23" s="1">
        <v>45524</v>
      </c>
      <c r="Z23">
        <v>630900</v>
      </c>
      <c r="AA23" s="32">
        <v>23</v>
      </c>
      <c r="AB23" s="35">
        <v>40</v>
      </c>
      <c r="AC23" s="7" t="s">
        <v>143</v>
      </c>
      <c r="AD23" s="12" t="str">
        <f t="shared" si="0"/>
        <v>C08</v>
      </c>
      <c r="AE23" s="9" t="str">
        <f t="shared" si="1"/>
        <v>NU</v>
      </c>
      <c r="AF23" s="27" t="s">
        <v>174</v>
      </c>
      <c r="AG23" s="30">
        <v>2</v>
      </c>
      <c r="AH23" t="s">
        <v>140</v>
      </c>
      <c r="AI23" s="7" t="s">
        <v>141</v>
      </c>
      <c r="AJ23" s="26">
        <v>46056</v>
      </c>
    </row>
    <row r="24" spans="1:36" ht="12.95" customHeight="1">
      <c r="A24" s="12" t="s">
        <v>95</v>
      </c>
      <c r="B24" s="12" t="s">
        <v>142</v>
      </c>
      <c r="C24">
        <v>22</v>
      </c>
      <c r="D24" t="s">
        <v>52</v>
      </c>
      <c r="E24" s="12" t="s">
        <v>279</v>
      </c>
      <c r="F24" s="12" t="s">
        <v>27</v>
      </c>
      <c r="G24" s="27" t="s">
        <v>391</v>
      </c>
      <c r="H24" s="27" t="s">
        <v>498</v>
      </c>
      <c r="I24" s="30" t="s">
        <v>215</v>
      </c>
      <c r="J24" s="16">
        <v>111111</v>
      </c>
      <c r="K24" t="s">
        <v>54</v>
      </c>
      <c r="N24" s="27" t="s">
        <v>640</v>
      </c>
      <c r="O24" s="27" t="s">
        <v>193</v>
      </c>
      <c r="P24" s="30" t="s">
        <v>753</v>
      </c>
      <c r="Q24" s="30" t="s">
        <v>145</v>
      </c>
      <c r="R24" s="12" t="s">
        <v>144</v>
      </c>
      <c r="S24" t="s">
        <v>55</v>
      </c>
      <c r="T24" t="s">
        <v>56</v>
      </c>
      <c r="U24" t="s">
        <v>57</v>
      </c>
      <c r="V24" t="s">
        <v>58</v>
      </c>
      <c r="W24" t="s">
        <v>59</v>
      </c>
      <c r="Y24" s="1">
        <v>45524</v>
      </c>
      <c r="Z24">
        <v>630900</v>
      </c>
      <c r="AA24" s="32">
        <v>21</v>
      </c>
      <c r="AB24" s="35">
        <v>40</v>
      </c>
      <c r="AC24" s="7" t="s">
        <v>143</v>
      </c>
      <c r="AD24" s="12" t="str">
        <f t="shared" si="0"/>
        <v>C08</v>
      </c>
      <c r="AE24" s="9" t="str">
        <f t="shared" si="1"/>
        <v>NU</v>
      </c>
      <c r="AF24" s="27" t="s">
        <v>175</v>
      </c>
      <c r="AG24" s="30">
        <v>1</v>
      </c>
      <c r="AH24" t="s">
        <v>140</v>
      </c>
      <c r="AI24" s="7" t="s">
        <v>141</v>
      </c>
      <c r="AJ24" s="26">
        <v>46056</v>
      </c>
    </row>
    <row r="25" spans="1:36" ht="12.95" customHeight="1">
      <c r="A25" s="12" t="s">
        <v>96</v>
      </c>
      <c r="B25" s="12" t="s">
        <v>142</v>
      </c>
      <c r="C25">
        <v>23</v>
      </c>
      <c r="D25" t="s">
        <v>52</v>
      </c>
      <c r="E25" s="12" t="s">
        <v>280</v>
      </c>
      <c r="F25" s="12" t="s">
        <v>27</v>
      </c>
      <c r="G25" s="27" t="s">
        <v>392</v>
      </c>
      <c r="H25" s="27" t="s">
        <v>499</v>
      </c>
      <c r="I25" s="30" t="s">
        <v>594</v>
      </c>
      <c r="J25" s="16">
        <v>111111</v>
      </c>
      <c r="K25" t="s">
        <v>54</v>
      </c>
      <c r="N25" s="27" t="s">
        <v>641</v>
      </c>
      <c r="O25" s="27" t="s">
        <v>247</v>
      </c>
      <c r="P25" s="30" t="s">
        <v>749</v>
      </c>
      <c r="Q25" s="30" t="s">
        <v>146</v>
      </c>
      <c r="R25" s="12" t="s">
        <v>144</v>
      </c>
      <c r="S25" t="s">
        <v>55</v>
      </c>
      <c r="T25" t="s">
        <v>56</v>
      </c>
      <c r="U25" t="s">
        <v>57</v>
      </c>
      <c r="V25" t="s">
        <v>58</v>
      </c>
      <c r="W25" t="s">
        <v>59</v>
      </c>
      <c r="Y25" s="1">
        <v>45524</v>
      </c>
      <c r="Z25">
        <v>630900</v>
      </c>
      <c r="AA25" s="32">
        <v>25</v>
      </c>
      <c r="AB25" s="35">
        <v>40</v>
      </c>
      <c r="AC25" s="7" t="s">
        <v>143</v>
      </c>
      <c r="AD25" s="12" t="str">
        <f t="shared" si="0"/>
        <v>C08</v>
      </c>
      <c r="AE25" s="9" t="str">
        <f t="shared" si="1"/>
        <v>NU</v>
      </c>
      <c r="AF25" s="27" t="s">
        <v>175</v>
      </c>
      <c r="AG25" s="30">
        <v>1</v>
      </c>
      <c r="AH25" t="s">
        <v>140</v>
      </c>
      <c r="AI25" s="7" t="s">
        <v>141</v>
      </c>
      <c r="AJ25" s="26">
        <v>46056</v>
      </c>
    </row>
    <row r="26" spans="1:36" ht="12.95" customHeight="1">
      <c r="A26" s="12" t="s">
        <v>97</v>
      </c>
      <c r="B26" s="12" t="s">
        <v>142</v>
      </c>
      <c r="C26">
        <v>24</v>
      </c>
      <c r="D26" t="s">
        <v>52</v>
      </c>
      <c r="E26" s="12" t="s">
        <v>281</v>
      </c>
      <c r="F26" s="12" t="s">
        <v>27</v>
      </c>
      <c r="G26" s="27" t="s">
        <v>393</v>
      </c>
      <c r="H26" s="27" t="s">
        <v>500</v>
      </c>
      <c r="I26" s="30" t="s">
        <v>215</v>
      </c>
      <c r="J26" s="16">
        <v>111111</v>
      </c>
      <c r="K26" t="s">
        <v>54</v>
      </c>
      <c r="N26" s="27" t="s">
        <v>642</v>
      </c>
      <c r="O26" s="27" t="s">
        <v>732</v>
      </c>
      <c r="P26" s="30" t="s">
        <v>749</v>
      </c>
      <c r="Q26" s="30" t="s">
        <v>146</v>
      </c>
      <c r="R26" s="12" t="s">
        <v>144</v>
      </c>
      <c r="S26" t="s">
        <v>55</v>
      </c>
      <c r="T26" t="s">
        <v>56</v>
      </c>
      <c r="U26" t="s">
        <v>57</v>
      </c>
      <c r="V26" t="s">
        <v>58</v>
      </c>
      <c r="W26" t="s">
        <v>59</v>
      </c>
      <c r="Y26" s="1">
        <v>45524</v>
      </c>
      <c r="Z26">
        <v>630900</v>
      </c>
      <c r="AA26" s="32">
        <v>3</v>
      </c>
      <c r="AB26" s="35">
        <v>40</v>
      </c>
      <c r="AC26" s="7" t="s">
        <v>143</v>
      </c>
      <c r="AD26" s="12" t="str">
        <f t="shared" si="0"/>
        <v>C08</v>
      </c>
      <c r="AE26" s="9" t="str">
        <f t="shared" si="1"/>
        <v>NU</v>
      </c>
      <c r="AF26" s="27" t="s">
        <v>201</v>
      </c>
      <c r="AG26" s="30">
        <v>1</v>
      </c>
      <c r="AH26" t="s">
        <v>140</v>
      </c>
      <c r="AI26" s="7" t="s">
        <v>141</v>
      </c>
      <c r="AJ26" s="26">
        <v>46056</v>
      </c>
    </row>
    <row r="27" spans="1:36" ht="12.95" customHeight="1">
      <c r="A27" s="12" t="s">
        <v>98</v>
      </c>
      <c r="B27" s="12" t="s">
        <v>142</v>
      </c>
      <c r="C27">
        <v>25</v>
      </c>
      <c r="D27" t="s">
        <v>52</v>
      </c>
      <c r="E27" s="12" t="s">
        <v>282</v>
      </c>
      <c r="F27" s="12" t="s">
        <v>27</v>
      </c>
      <c r="G27" s="27" t="s">
        <v>394</v>
      </c>
      <c r="H27" s="27" t="s">
        <v>501</v>
      </c>
      <c r="I27" s="30" t="s">
        <v>221</v>
      </c>
      <c r="J27" s="16">
        <v>111111</v>
      </c>
      <c r="K27" t="s">
        <v>54</v>
      </c>
      <c r="N27" s="27" t="s">
        <v>643</v>
      </c>
      <c r="O27" s="27" t="s">
        <v>196</v>
      </c>
      <c r="P27" s="30" t="s">
        <v>749</v>
      </c>
      <c r="Q27" s="30" t="s">
        <v>146</v>
      </c>
      <c r="R27" s="12" t="s">
        <v>144</v>
      </c>
      <c r="S27" t="s">
        <v>55</v>
      </c>
      <c r="T27" t="s">
        <v>56</v>
      </c>
      <c r="U27" t="s">
        <v>57</v>
      </c>
      <c r="V27" t="s">
        <v>58</v>
      </c>
      <c r="W27" t="s">
        <v>59</v>
      </c>
      <c r="Y27" s="1">
        <v>45524</v>
      </c>
      <c r="Z27">
        <v>630900</v>
      </c>
      <c r="AA27" s="32">
        <v>15</v>
      </c>
      <c r="AB27" s="35">
        <v>40</v>
      </c>
      <c r="AC27" s="7" t="s">
        <v>143</v>
      </c>
      <c r="AD27" s="12" t="str">
        <f t="shared" si="0"/>
        <v>C08</v>
      </c>
      <c r="AE27" s="9" t="str">
        <f t="shared" si="1"/>
        <v>NU</v>
      </c>
      <c r="AF27" s="27" t="s">
        <v>788</v>
      </c>
      <c r="AG27" s="30">
        <v>1</v>
      </c>
      <c r="AH27" t="s">
        <v>140</v>
      </c>
      <c r="AI27" s="7" t="s">
        <v>141</v>
      </c>
      <c r="AJ27" s="26">
        <v>46056</v>
      </c>
    </row>
    <row r="28" spans="1:36" ht="12.95" customHeight="1">
      <c r="A28" s="12" t="s">
        <v>99</v>
      </c>
      <c r="B28" s="12" t="s">
        <v>142</v>
      </c>
      <c r="C28">
        <v>26</v>
      </c>
      <c r="D28" t="s">
        <v>52</v>
      </c>
      <c r="E28" s="12" t="s">
        <v>283</v>
      </c>
      <c r="F28" s="12" t="s">
        <v>27</v>
      </c>
      <c r="G28" s="27" t="s">
        <v>395</v>
      </c>
      <c r="H28" s="27" t="s">
        <v>502</v>
      </c>
      <c r="I28" s="30" t="s">
        <v>215</v>
      </c>
      <c r="J28" s="16">
        <v>111111</v>
      </c>
      <c r="K28" t="s">
        <v>54</v>
      </c>
      <c r="N28" s="27" t="s">
        <v>644</v>
      </c>
      <c r="O28" s="27" t="s">
        <v>733</v>
      </c>
      <c r="P28" s="30" t="s">
        <v>754</v>
      </c>
      <c r="Q28" s="30" t="s">
        <v>768</v>
      </c>
      <c r="R28" s="12" t="s">
        <v>144</v>
      </c>
      <c r="S28" t="s">
        <v>55</v>
      </c>
      <c r="T28" t="s">
        <v>56</v>
      </c>
      <c r="U28" t="s">
        <v>57</v>
      </c>
      <c r="V28" t="s">
        <v>58</v>
      </c>
      <c r="W28" t="s">
        <v>59</v>
      </c>
      <c r="Y28" s="1">
        <v>45524</v>
      </c>
      <c r="Z28">
        <v>630900</v>
      </c>
      <c r="AA28" s="32">
        <v>11</v>
      </c>
      <c r="AB28" s="35">
        <v>40</v>
      </c>
      <c r="AC28" s="7" t="s">
        <v>143</v>
      </c>
      <c r="AD28" s="12" t="str">
        <f t="shared" si="0"/>
        <v>C08</v>
      </c>
      <c r="AE28" s="9" t="str">
        <f t="shared" si="1"/>
        <v>NU</v>
      </c>
      <c r="AF28" s="27" t="s">
        <v>153</v>
      </c>
      <c r="AG28" s="30">
        <v>1</v>
      </c>
      <c r="AH28" t="s">
        <v>140</v>
      </c>
      <c r="AI28" s="7" t="s">
        <v>141</v>
      </c>
      <c r="AJ28" s="26">
        <v>46056</v>
      </c>
    </row>
    <row r="29" spans="1:36" ht="12.95" customHeight="1">
      <c r="A29" s="12" t="s">
        <v>100</v>
      </c>
      <c r="B29" s="12" t="s">
        <v>142</v>
      </c>
      <c r="C29">
        <v>27</v>
      </c>
      <c r="D29" t="s">
        <v>52</v>
      </c>
      <c r="E29" s="12" t="s">
        <v>284</v>
      </c>
      <c r="F29" s="12" t="s">
        <v>27</v>
      </c>
      <c r="G29" s="27" t="s">
        <v>396</v>
      </c>
      <c r="H29" s="27" t="s">
        <v>503</v>
      </c>
      <c r="I29" s="30" t="s">
        <v>218</v>
      </c>
      <c r="J29" s="16">
        <v>111111</v>
      </c>
      <c r="K29" t="s">
        <v>54</v>
      </c>
      <c r="N29" s="27" t="s">
        <v>645</v>
      </c>
      <c r="O29" s="27" t="s">
        <v>196</v>
      </c>
      <c r="P29" s="30" t="s">
        <v>749</v>
      </c>
      <c r="Q29" s="30" t="s">
        <v>146</v>
      </c>
      <c r="R29" s="12" t="s">
        <v>144</v>
      </c>
      <c r="S29" t="s">
        <v>55</v>
      </c>
      <c r="T29" t="s">
        <v>56</v>
      </c>
      <c r="U29" t="s">
        <v>57</v>
      </c>
      <c r="V29" t="s">
        <v>58</v>
      </c>
      <c r="W29" t="s">
        <v>59</v>
      </c>
      <c r="Y29" s="1">
        <v>45524</v>
      </c>
      <c r="Z29">
        <v>630900</v>
      </c>
      <c r="AA29" s="32">
        <v>18</v>
      </c>
      <c r="AB29" s="35">
        <v>40</v>
      </c>
      <c r="AC29" s="7" t="s">
        <v>143</v>
      </c>
      <c r="AD29" s="12" t="str">
        <f t="shared" si="0"/>
        <v>C08</v>
      </c>
      <c r="AE29" s="9" t="str">
        <f t="shared" si="1"/>
        <v>NU</v>
      </c>
      <c r="AF29" s="27" t="s">
        <v>174</v>
      </c>
      <c r="AG29" s="30">
        <v>1</v>
      </c>
      <c r="AH29" t="s">
        <v>140</v>
      </c>
      <c r="AI29" s="7" t="s">
        <v>141</v>
      </c>
      <c r="AJ29" s="26">
        <v>46056</v>
      </c>
    </row>
    <row r="30" spans="1:36" ht="12.95" customHeight="1">
      <c r="A30" s="12" t="s">
        <v>101</v>
      </c>
      <c r="B30" s="12" t="s">
        <v>142</v>
      </c>
      <c r="C30">
        <v>28</v>
      </c>
      <c r="D30" t="s">
        <v>52</v>
      </c>
      <c r="E30" s="12" t="s">
        <v>285</v>
      </c>
      <c r="F30" s="12" t="s">
        <v>27</v>
      </c>
      <c r="G30" s="27" t="s">
        <v>397</v>
      </c>
      <c r="H30" s="27" t="s">
        <v>504</v>
      </c>
      <c r="I30" s="30" t="s">
        <v>224</v>
      </c>
      <c r="J30" s="16">
        <v>111111</v>
      </c>
      <c r="K30" t="s">
        <v>54</v>
      </c>
      <c r="N30" s="27" t="s">
        <v>646</v>
      </c>
      <c r="O30" s="27" t="s">
        <v>194</v>
      </c>
      <c r="P30" s="30" t="s">
        <v>749</v>
      </c>
      <c r="Q30" s="30" t="s">
        <v>146</v>
      </c>
      <c r="R30" s="12" t="s">
        <v>144</v>
      </c>
      <c r="S30" t="s">
        <v>55</v>
      </c>
      <c r="T30" t="s">
        <v>56</v>
      </c>
      <c r="U30" t="s">
        <v>57</v>
      </c>
      <c r="V30" t="s">
        <v>58</v>
      </c>
      <c r="W30" t="s">
        <v>59</v>
      </c>
      <c r="Y30" s="1">
        <v>45524</v>
      </c>
      <c r="Z30">
        <v>630900</v>
      </c>
      <c r="AA30" s="32">
        <v>19</v>
      </c>
      <c r="AB30" s="35">
        <v>40</v>
      </c>
      <c r="AC30" s="7" t="s">
        <v>143</v>
      </c>
      <c r="AD30" s="12" t="str">
        <f t="shared" si="0"/>
        <v>C08</v>
      </c>
      <c r="AE30" s="9" t="str">
        <f t="shared" si="1"/>
        <v>NU</v>
      </c>
      <c r="AF30" s="27" t="s">
        <v>174</v>
      </c>
      <c r="AG30" s="30">
        <v>1</v>
      </c>
      <c r="AH30" t="s">
        <v>140</v>
      </c>
      <c r="AI30" s="7" t="s">
        <v>141</v>
      </c>
      <c r="AJ30" s="26">
        <v>46056</v>
      </c>
    </row>
    <row r="31" spans="1:36" ht="12.95" customHeight="1">
      <c r="A31" s="12" t="s">
        <v>102</v>
      </c>
      <c r="B31" s="12" t="s">
        <v>142</v>
      </c>
      <c r="C31">
        <v>29</v>
      </c>
      <c r="D31" t="s">
        <v>52</v>
      </c>
      <c r="E31" s="12" t="s">
        <v>286</v>
      </c>
      <c r="F31" s="12" t="s">
        <v>27</v>
      </c>
      <c r="G31" s="27" t="s">
        <v>398</v>
      </c>
      <c r="H31" s="27" t="s">
        <v>505</v>
      </c>
      <c r="I31" s="30" t="s">
        <v>595</v>
      </c>
      <c r="J31" s="16">
        <v>111111</v>
      </c>
      <c r="K31" t="s">
        <v>54</v>
      </c>
      <c r="N31" s="27" t="s">
        <v>647</v>
      </c>
      <c r="O31" s="27" t="s">
        <v>247</v>
      </c>
      <c r="P31" s="30" t="s">
        <v>749</v>
      </c>
      <c r="Q31" s="30" t="s">
        <v>146</v>
      </c>
      <c r="R31" s="12" t="s">
        <v>144</v>
      </c>
      <c r="S31" t="s">
        <v>55</v>
      </c>
      <c r="T31" t="s">
        <v>56</v>
      </c>
      <c r="U31" t="s">
        <v>57</v>
      </c>
      <c r="V31" t="s">
        <v>58</v>
      </c>
      <c r="W31" t="s">
        <v>59</v>
      </c>
      <c r="Y31" s="1">
        <v>45524</v>
      </c>
      <c r="Z31">
        <v>630900</v>
      </c>
      <c r="AA31" s="32">
        <v>22</v>
      </c>
      <c r="AB31" s="35">
        <v>65</v>
      </c>
      <c r="AC31" s="7" t="s">
        <v>143</v>
      </c>
      <c r="AD31" s="12" t="str">
        <f t="shared" si="0"/>
        <v>C07</v>
      </c>
      <c r="AE31" s="9" t="str">
        <f t="shared" si="1"/>
        <v>DA</v>
      </c>
      <c r="AF31" s="27" t="s">
        <v>175</v>
      </c>
      <c r="AG31" s="30">
        <v>1</v>
      </c>
      <c r="AH31" t="s">
        <v>140</v>
      </c>
      <c r="AI31" s="7" t="s">
        <v>141</v>
      </c>
      <c r="AJ31" s="26">
        <v>46056</v>
      </c>
    </row>
    <row r="32" spans="1:36" ht="12.95" customHeight="1">
      <c r="A32" s="12" t="s">
        <v>103</v>
      </c>
      <c r="B32" s="12" t="s">
        <v>142</v>
      </c>
      <c r="C32">
        <v>30</v>
      </c>
      <c r="D32" t="s">
        <v>52</v>
      </c>
      <c r="E32" s="12" t="s">
        <v>287</v>
      </c>
      <c r="F32" s="12" t="s">
        <v>27</v>
      </c>
      <c r="G32" s="27" t="s">
        <v>399</v>
      </c>
      <c r="H32" s="27" t="s">
        <v>506</v>
      </c>
      <c r="I32" s="30" t="s">
        <v>232</v>
      </c>
      <c r="J32" s="16">
        <v>111111</v>
      </c>
      <c r="K32" t="s">
        <v>54</v>
      </c>
      <c r="N32" s="27" t="s">
        <v>648</v>
      </c>
      <c r="O32" s="27" t="s">
        <v>730</v>
      </c>
      <c r="P32" s="30" t="s">
        <v>749</v>
      </c>
      <c r="Q32" s="30" t="s">
        <v>146</v>
      </c>
      <c r="R32" s="12" t="s">
        <v>144</v>
      </c>
      <c r="S32" t="s">
        <v>55</v>
      </c>
      <c r="T32" t="s">
        <v>56</v>
      </c>
      <c r="U32" t="s">
        <v>57</v>
      </c>
      <c r="V32" t="s">
        <v>58</v>
      </c>
      <c r="W32" t="s">
        <v>59</v>
      </c>
      <c r="Y32" s="1">
        <v>45524</v>
      </c>
      <c r="Z32">
        <v>630900</v>
      </c>
      <c r="AA32" s="32">
        <v>5</v>
      </c>
      <c r="AB32" s="35">
        <v>40</v>
      </c>
      <c r="AC32" s="7" t="s">
        <v>143</v>
      </c>
      <c r="AD32" s="12" t="str">
        <f t="shared" si="0"/>
        <v>C08</v>
      </c>
      <c r="AE32" s="9" t="str">
        <f t="shared" si="1"/>
        <v>NU</v>
      </c>
      <c r="AF32" s="27" t="s">
        <v>174</v>
      </c>
      <c r="AG32" s="30">
        <v>1</v>
      </c>
      <c r="AH32" t="s">
        <v>140</v>
      </c>
      <c r="AI32" s="7" t="s">
        <v>141</v>
      </c>
      <c r="AJ32" s="26">
        <v>46056</v>
      </c>
    </row>
    <row r="33" spans="1:36" ht="12.95" customHeight="1">
      <c r="A33" s="12" t="s">
        <v>104</v>
      </c>
      <c r="B33" s="12" t="s">
        <v>142</v>
      </c>
      <c r="C33">
        <v>31</v>
      </c>
      <c r="D33" t="s">
        <v>52</v>
      </c>
      <c r="E33" s="12" t="s">
        <v>288</v>
      </c>
      <c r="F33" s="12" t="s">
        <v>27</v>
      </c>
      <c r="G33" s="27" t="s">
        <v>400</v>
      </c>
      <c r="H33" s="27" t="s">
        <v>507</v>
      </c>
      <c r="I33" s="30" t="s">
        <v>596</v>
      </c>
      <c r="J33" s="16">
        <v>111111</v>
      </c>
      <c r="K33" t="s">
        <v>54</v>
      </c>
      <c r="N33" s="27" t="s">
        <v>649</v>
      </c>
      <c r="O33" s="27" t="s">
        <v>247</v>
      </c>
      <c r="P33" s="30" t="s">
        <v>749</v>
      </c>
      <c r="Q33" s="30" t="s">
        <v>146</v>
      </c>
      <c r="R33" s="12" t="s">
        <v>144</v>
      </c>
      <c r="S33" t="s">
        <v>55</v>
      </c>
      <c r="T33" t="s">
        <v>56</v>
      </c>
      <c r="U33" t="s">
        <v>57</v>
      </c>
      <c r="V33" t="s">
        <v>58</v>
      </c>
      <c r="W33" t="s">
        <v>59</v>
      </c>
      <c r="Y33" s="1">
        <v>45524</v>
      </c>
      <c r="Z33">
        <v>630900</v>
      </c>
      <c r="AA33" s="32">
        <v>5</v>
      </c>
      <c r="AB33" s="35">
        <v>40</v>
      </c>
      <c r="AC33" s="7" t="s">
        <v>143</v>
      </c>
      <c r="AD33" s="12" t="str">
        <f t="shared" si="0"/>
        <v>C08</v>
      </c>
      <c r="AE33" s="9" t="str">
        <f t="shared" si="1"/>
        <v>NU</v>
      </c>
      <c r="AF33" s="27" t="s">
        <v>780</v>
      </c>
      <c r="AG33" s="30">
        <v>2</v>
      </c>
      <c r="AH33" t="s">
        <v>140</v>
      </c>
      <c r="AI33" s="7" t="s">
        <v>141</v>
      </c>
      <c r="AJ33" s="26">
        <v>46056</v>
      </c>
    </row>
    <row r="34" spans="1:36" ht="12.95" customHeight="1">
      <c r="A34" s="12" t="s">
        <v>105</v>
      </c>
      <c r="B34" s="12" t="s">
        <v>142</v>
      </c>
      <c r="C34">
        <v>32</v>
      </c>
      <c r="D34" t="s">
        <v>52</v>
      </c>
      <c r="E34" s="12" t="s">
        <v>289</v>
      </c>
      <c r="F34" s="12" t="s">
        <v>27</v>
      </c>
      <c r="G34" s="27" t="s">
        <v>401</v>
      </c>
      <c r="H34" s="27" t="s">
        <v>508</v>
      </c>
      <c r="I34" s="30" t="s">
        <v>597</v>
      </c>
      <c r="J34" s="16">
        <v>111111</v>
      </c>
      <c r="K34" t="s">
        <v>54</v>
      </c>
      <c r="N34" s="27" t="s">
        <v>650</v>
      </c>
      <c r="O34" s="27" t="s">
        <v>194</v>
      </c>
      <c r="P34" s="30" t="s">
        <v>749</v>
      </c>
      <c r="Q34" s="30" t="s">
        <v>146</v>
      </c>
      <c r="R34" s="12" t="s">
        <v>144</v>
      </c>
      <c r="S34" t="s">
        <v>55</v>
      </c>
      <c r="T34" t="s">
        <v>56</v>
      </c>
      <c r="U34" t="s">
        <v>57</v>
      </c>
      <c r="V34" t="s">
        <v>58</v>
      </c>
      <c r="W34" t="s">
        <v>59</v>
      </c>
      <c r="Y34" s="1">
        <v>45524</v>
      </c>
      <c r="Z34">
        <v>630900</v>
      </c>
      <c r="AA34" s="32">
        <v>5</v>
      </c>
      <c r="AB34" s="35">
        <v>40</v>
      </c>
      <c r="AC34" s="7" t="s">
        <v>143</v>
      </c>
      <c r="AD34" s="12" t="str">
        <f t="shared" si="0"/>
        <v>C08</v>
      </c>
      <c r="AE34" s="9" t="str">
        <f t="shared" si="1"/>
        <v>NU</v>
      </c>
      <c r="AF34" s="27" t="s">
        <v>201</v>
      </c>
      <c r="AG34" s="30">
        <v>1</v>
      </c>
      <c r="AH34" t="s">
        <v>140</v>
      </c>
      <c r="AI34" s="7" t="s">
        <v>141</v>
      </c>
      <c r="AJ34" s="26">
        <v>46056</v>
      </c>
    </row>
    <row r="35" spans="1:36" ht="12.95" customHeight="1">
      <c r="A35" s="12" t="s">
        <v>106</v>
      </c>
      <c r="B35" s="12" t="s">
        <v>142</v>
      </c>
      <c r="C35">
        <v>33</v>
      </c>
      <c r="D35" t="s">
        <v>52</v>
      </c>
      <c r="E35" s="12" t="s">
        <v>290</v>
      </c>
      <c r="F35" s="12" t="s">
        <v>27</v>
      </c>
      <c r="G35" s="27" t="s">
        <v>402</v>
      </c>
      <c r="H35" s="27" t="s">
        <v>509</v>
      </c>
      <c r="I35" s="30" t="s">
        <v>230</v>
      </c>
      <c r="J35" s="16">
        <v>111111</v>
      </c>
      <c r="K35" t="s">
        <v>54</v>
      </c>
      <c r="N35" s="27" t="s">
        <v>651</v>
      </c>
      <c r="O35" s="27" t="s">
        <v>196</v>
      </c>
      <c r="P35" s="30" t="s">
        <v>749</v>
      </c>
      <c r="Q35" s="30" t="s">
        <v>146</v>
      </c>
      <c r="R35" s="12" t="s">
        <v>144</v>
      </c>
      <c r="S35" t="s">
        <v>55</v>
      </c>
      <c r="T35" t="s">
        <v>56</v>
      </c>
      <c r="U35" t="s">
        <v>57</v>
      </c>
      <c r="V35" t="s">
        <v>58</v>
      </c>
      <c r="W35" t="s">
        <v>59</v>
      </c>
      <c r="Y35" s="1">
        <v>45524</v>
      </c>
      <c r="Z35">
        <v>630900</v>
      </c>
      <c r="AA35" s="32">
        <v>2</v>
      </c>
      <c r="AB35" s="35">
        <v>40</v>
      </c>
      <c r="AC35" s="7" t="s">
        <v>143</v>
      </c>
      <c r="AD35" s="12" t="str">
        <f t="shared" si="0"/>
        <v>C08</v>
      </c>
      <c r="AE35" s="9" t="str">
        <f t="shared" si="1"/>
        <v>NU</v>
      </c>
      <c r="AF35" s="27" t="s">
        <v>153</v>
      </c>
      <c r="AG35" s="30">
        <v>1</v>
      </c>
      <c r="AH35" t="s">
        <v>140</v>
      </c>
      <c r="AI35" s="7" t="s">
        <v>141</v>
      </c>
      <c r="AJ35" s="26">
        <v>46056</v>
      </c>
    </row>
    <row r="36" spans="1:36" ht="12.95" customHeight="1">
      <c r="A36" s="12" t="s">
        <v>107</v>
      </c>
      <c r="B36" s="12" t="s">
        <v>142</v>
      </c>
      <c r="C36">
        <v>34</v>
      </c>
      <c r="D36" t="s">
        <v>52</v>
      </c>
      <c r="E36" s="12" t="s">
        <v>291</v>
      </c>
      <c r="F36" s="12" t="s">
        <v>27</v>
      </c>
      <c r="G36" s="27" t="s">
        <v>403</v>
      </c>
      <c r="H36" s="27" t="s">
        <v>510</v>
      </c>
      <c r="I36" s="30" t="s">
        <v>215</v>
      </c>
      <c r="J36" s="16">
        <v>111111</v>
      </c>
      <c r="K36" t="s">
        <v>54</v>
      </c>
      <c r="N36" s="27" t="s">
        <v>652</v>
      </c>
      <c r="O36" s="27" t="s">
        <v>199</v>
      </c>
      <c r="P36" s="30" t="s">
        <v>749</v>
      </c>
      <c r="Q36" s="30" t="s">
        <v>146</v>
      </c>
      <c r="R36" s="12" t="s">
        <v>144</v>
      </c>
      <c r="S36" t="s">
        <v>55</v>
      </c>
      <c r="T36" t="s">
        <v>56</v>
      </c>
      <c r="U36" t="s">
        <v>57</v>
      </c>
      <c r="V36" t="s">
        <v>58</v>
      </c>
      <c r="W36" t="s">
        <v>59</v>
      </c>
      <c r="Y36" s="1">
        <v>45524</v>
      </c>
      <c r="Z36">
        <v>630900</v>
      </c>
      <c r="AA36" s="32">
        <v>18</v>
      </c>
      <c r="AB36" s="35">
        <v>40</v>
      </c>
      <c r="AC36" s="7" t="s">
        <v>143</v>
      </c>
      <c r="AD36" s="12" t="str">
        <f t="shared" si="0"/>
        <v>C08</v>
      </c>
      <c r="AE36" s="9" t="str">
        <f t="shared" si="1"/>
        <v>NU</v>
      </c>
      <c r="AF36" s="27" t="s">
        <v>789</v>
      </c>
      <c r="AG36" s="30">
        <v>1</v>
      </c>
      <c r="AH36" t="s">
        <v>140</v>
      </c>
      <c r="AI36" s="7" t="s">
        <v>141</v>
      </c>
      <c r="AJ36" s="26">
        <v>46056</v>
      </c>
    </row>
    <row r="37" spans="1:36" ht="12.95" customHeight="1">
      <c r="A37" s="12" t="s">
        <v>108</v>
      </c>
      <c r="B37" s="12" t="s">
        <v>142</v>
      </c>
      <c r="C37">
        <v>35</v>
      </c>
      <c r="D37" t="s">
        <v>52</v>
      </c>
      <c r="E37" s="12" t="s">
        <v>292</v>
      </c>
      <c r="F37" s="12" t="s">
        <v>27</v>
      </c>
      <c r="G37" s="27" t="s">
        <v>404</v>
      </c>
      <c r="H37" s="27" t="s">
        <v>511</v>
      </c>
      <c r="I37" s="30" t="s">
        <v>216</v>
      </c>
      <c r="J37" s="16">
        <v>111111</v>
      </c>
      <c r="K37" t="s">
        <v>54</v>
      </c>
      <c r="N37" s="27" t="s">
        <v>653</v>
      </c>
      <c r="O37" s="27" t="s">
        <v>247</v>
      </c>
      <c r="P37" s="30" t="s">
        <v>749</v>
      </c>
      <c r="Q37" s="30" t="s">
        <v>146</v>
      </c>
      <c r="R37" s="12" t="s">
        <v>144</v>
      </c>
      <c r="S37" t="s">
        <v>55</v>
      </c>
      <c r="T37" t="s">
        <v>56</v>
      </c>
      <c r="U37" t="s">
        <v>57</v>
      </c>
      <c r="V37" t="s">
        <v>58</v>
      </c>
      <c r="W37" t="s">
        <v>59</v>
      </c>
      <c r="Y37" s="1">
        <v>45524</v>
      </c>
      <c r="Z37">
        <v>630900</v>
      </c>
      <c r="AA37" s="32">
        <v>20</v>
      </c>
      <c r="AB37" s="35">
        <v>40</v>
      </c>
      <c r="AC37" s="7" t="s">
        <v>143</v>
      </c>
      <c r="AD37" s="12" t="str">
        <f t="shared" si="0"/>
        <v>C08</v>
      </c>
      <c r="AE37" s="9" t="str">
        <f t="shared" si="1"/>
        <v>NU</v>
      </c>
      <c r="AF37" s="27" t="s">
        <v>790</v>
      </c>
      <c r="AG37" s="30">
        <v>1</v>
      </c>
      <c r="AH37" t="s">
        <v>140</v>
      </c>
      <c r="AI37" s="7" t="s">
        <v>141</v>
      </c>
      <c r="AJ37" s="26">
        <v>46056</v>
      </c>
    </row>
    <row r="38" spans="1:36" ht="12.95" customHeight="1">
      <c r="A38" s="12" t="s">
        <v>109</v>
      </c>
      <c r="B38" s="12" t="s">
        <v>142</v>
      </c>
      <c r="C38">
        <v>36</v>
      </c>
      <c r="D38" t="s">
        <v>52</v>
      </c>
      <c r="E38" s="12" t="s">
        <v>293</v>
      </c>
      <c r="F38" s="12" t="s">
        <v>27</v>
      </c>
      <c r="G38" s="27" t="s">
        <v>405</v>
      </c>
      <c r="H38" s="27" t="s">
        <v>512</v>
      </c>
      <c r="I38" s="30" t="s">
        <v>598</v>
      </c>
      <c r="J38" s="16">
        <v>111111</v>
      </c>
      <c r="K38" t="s">
        <v>54</v>
      </c>
      <c r="N38" s="27" t="s">
        <v>654</v>
      </c>
      <c r="O38" s="27" t="s">
        <v>196</v>
      </c>
      <c r="P38" s="30" t="s">
        <v>749</v>
      </c>
      <c r="Q38" s="30" t="s">
        <v>146</v>
      </c>
      <c r="R38" s="12" t="s">
        <v>144</v>
      </c>
      <c r="S38" t="s">
        <v>55</v>
      </c>
      <c r="T38" t="s">
        <v>56</v>
      </c>
      <c r="U38" t="s">
        <v>57</v>
      </c>
      <c r="V38" t="s">
        <v>58</v>
      </c>
      <c r="W38" t="s">
        <v>59</v>
      </c>
      <c r="Y38" s="1">
        <v>45524</v>
      </c>
      <c r="Z38">
        <v>630900</v>
      </c>
      <c r="AA38" s="32">
        <v>5</v>
      </c>
      <c r="AB38" s="35">
        <v>40</v>
      </c>
      <c r="AC38" s="7" t="s">
        <v>143</v>
      </c>
      <c r="AD38" s="12" t="str">
        <f t="shared" si="0"/>
        <v>C08</v>
      </c>
      <c r="AE38" s="9" t="str">
        <f t="shared" si="1"/>
        <v>NU</v>
      </c>
      <c r="AF38" s="27" t="s">
        <v>176</v>
      </c>
      <c r="AG38" s="30">
        <v>1</v>
      </c>
      <c r="AH38" t="s">
        <v>140</v>
      </c>
      <c r="AI38" s="7" t="s">
        <v>141</v>
      </c>
      <c r="AJ38" s="26">
        <v>46056</v>
      </c>
    </row>
    <row r="39" spans="1:36" ht="12.95" customHeight="1">
      <c r="A39" s="12" t="s">
        <v>110</v>
      </c>
      <c r="B39" s="12" t="s">
        <v>142</v>
      </c>
      <c r="C39">
        <v>37</v>
      </c>
      <c r="D39" t="s">
        <v>52</v>
      </c>
      <c r="E39" s="12" t="s">
        <v>294</v>
      </c>
      <c r="F39" s="12" t="s">
        <v>27</v>
      </c>
      <c r="G39" s="27" t="s">
        <v>205</v>
      </c>
      <c r="H39" s="27" t="s">
        <v>211</v>
      </c>
      <c r="I39" s="30" t="s">
        <v>226</v>
      </c>
      <c r="J39" s="16">
        <v>111111</v>
      </c>
      <c r="K39" t="s">
        <v>54</v>
      </c>
      <c r="N39" s="27" t="s">
        <v>241</v>
      </c>
      <c r="O39" s="27" t="s">
        <v>196</v>
      </c>
      <c r="P39" s="30" t="s">
        <v>749</v>
      </c>
      <c r="Q39" s="30" t="s">
        <v>146</v>
      </c>
      <c r="R39" s="12" t="s">
        <v>144</v>
      </c>
      <c r="S39" t="s">
        <v>55</v>
      </c>
      <c r="T39" t="s">
        <v>56</v>
      </c>
      <c r="U39" t="s">
        <v>57</v>
      </c>
      <c r="V39" t="s">
        <v>58</v>
      </c>
      <c r="W39" t="s">
        <v>59</v>
      </c>
      <c r="Y39" s="1">
        <v>45524</v>
      </c>
      <c r="Z39">
        <v>630900</v>
      </c>
      <c r="AA39" s="32">
        <v>7</v>
      </c>
      <c r="AB39" s="35">
        <v>40</v>
      </c>
      <c r="AC39" s="7" t="s">
        <v>143</v>
      </c>
      <c r="AD39" s="12" t="str">
        <f t="shared" si="0"/>
        <v>C08</v>
      </c>
      <c r="AE39" s="9" t="str">
        <f t="shared" si="1"/>
        <v>NU</v>
      </c>
      <c r="AF39" s="27" t="s">
        <v>791</v>
      </c>
      <c r="AG39" s="30">
        <v>1</v>
      </c>
      <c r="AH39" t="s">
        <v>140</v>
      </c>
      <c r="AI39" s="7" t="s">
        <v>141</v>
      </c>
      <c r="AJ39" s="26">
        <v>46056</v>
      </c>
    </row>
    <row r="40" spans="1:36" ht="12.95" customHeight="1">
      <c r="A40" s="12" t="s">
        <v>111</v>
      </c>
      <c r="B40" s="12" t="s">
        <v>142</v>
      </c>
      <c r="C40">
        <v>38</v>
      </c>
      <c r="D40" t="s">
        <v>52</v>
      </c>
      <c r="E40" s="12" t="s">
        <v>295</v>
      </c>
      <c r="F40" s="12" t="s">
        <v>27</v>
      </c>
      <c r="G40" s="27" t="s">
        <v>406</v>
      </c>
      <c r="H40" s="27" t="s">
        <v>513</v>
      </c>
      <c r="I40" s="30" t="s">
        <v>599</v>
      </c>
      <c r="J40" s="16">
        <v>111111</v>
      </c>
      <c r="K40" t="s">
        <v>54</v>
      </c>
      <c r="N40" s="27" t="s">
        <v>655</v>
      </c>
      <c r="O40" s="27" t="s">
        <v>197</v>
      </c>
      <c r="P40" s="30" t="s">
        <v>749</v>
      </c>
      <c r="Q40" s="30" t="s">
        <v>145</v>
      </c>
      <c r="R40" s="12" t="s">
        <v>144</v>
      </c>
      <c r="S40" t="s">
        <v>55</v>
      </c>
      <c r="T40" t="s">
        <v>56</v>
      </c>
      <c r="U40" t="s">
        <v>57</v>
      </c>
      <c r="V40" t="s">
        <v>58</v>
      </c>
      <c r="W40" t="s">
        <v>59</v>
      </c>
      <c r="Y40" s="1">
        <v>45524</v>
      </c>
      <c r="Z40">
        <v>630900</v>
      </c>
      <c r="AA40" s="32">
        <v>8</v>
      </c>
      <c r="AB40" s="35">
        <v>40</v>
      </c>
      <c r="AC40" s="7" t="s">
        <v>143</v>
      </c>
      <c r="AD40" s="12" t="str">
        <f t="shared" si="0"/>
        <v>C08</v>
      </c>
      <c r="AE40" s="9" t="str">
        <f t="shared" si="1"/>
        <v>NU</v>
      </c>
      <c r="AF40" s="27" t="s">
        <v>174</v>
      </c>
      <c r="AG40" s="30">
        <v>1</v>
      </c>
      <c r="AH40" t="s">
        <v>140</v>
      </c>
      <c r="AI40" s="7" t="s">
        <v>141</v>
      </c>
      <c r="AJ40" s="26">
        <v>46056</v>
      </c>
    </row>
    <row r="41" spans="1:36" ht="12.95" customHeight="1">
      <c r="A41" s="12" t="s">
        <v>112</v>
      </c>
      <c r="B41" s="12" t="s">
        <v>142</v>
      </c>
      <c r="C41">
        <v>39</v>
      </c>
      <c r="D41" t="s">
        <v>52</v>
      </c>
      <c r="E41" s="12" t="s">
        <v>296</v>
      </c>
      <c r="F41" s="12" t="s">
        <v>27</v>
      </c>
      <c r="G41" s="27" t="s">
        <v>407</v>
      </c>
      <c r="H41" s="27" t="s">
        <v>514</v>
      </c>
      <c r="I41" s="30" t="s">
        <v>592</v>
      </c>
      <c r="J41" s="16">
        <v>111111</v>
      </c>
      <c r="K41" t="s">
        <v>54</v>
      </c>
      <c r="N41" s="27" t="s">
        <v>656</v>
      </c>
      <c r="O41" s="27" t="s">
        <v>734</v>
      </c>
      <c r="P41" s="30" t="s">
        <v>755</v>
      </c>
      <c r="Q41" s="30" t="s">
        <v>200</v>
      </c>
      <c r="R41" s="12" t="s">
        <v>144</v>
      </c>
      <c r="S41" t="s">
        <v>55</v>
      </c>
      <c r="T41" t="s">
        <v>56</v>
      </c>
      <c r="U41" t="s">
        <v>57</v>
      </c>
      <c r="V41" t="s">
        <v>58</v>
      </c>
      <c r="W41" t="s">
        <v>59</v>
      </c>
      <c r="Y41" s="1">
        <v>45524</v>
      </c>
      <c r="Z41">
        <v>630900</v>
      </c>
      <c r="AA41" s="32">
        <v>3</v>
      </c>
      <c r="AB41" s="35">
        <v>40</v>
      </c>
      <c r="AC41" s="7" t="s">
        <v>143</v>
      </c>
      <c r="AD41" s="12" t="str">
        <f t="shared" si="0"/>
        <v>C08</v>
      </c>
      <c r="AE41" s="9" t="str">
        <f t="shared" si="1"/>
        <v>NU</v>
      </c>
      <c r="AF41" s="27" t="s">
        <v>792</v>
      </c>
      <c r="AG41" s="30">
        <v>1</v>
      </c>
      <c r="AH41" t="s">
        <v>140</v>
      </c>
      <c r="AI41" s="7" t="s">
        <v>141</v>
      </c>
      <c r="AJ41" s="26">
        <v>46056</v>
      </c>
    </row>
    <row r="42" spans="1:36" ht="12.95" customHeight="1">
      <c r="A42" s="12" t="s">
        <v>113</v>
      </c>
      <c r="B42" s="12" t="s">
        <v>142</v>
      </c>
      <c r="C42">
        <v>40</v>
      </c>
      <c r="D42" t="s">
        <v>52</v>
      </c>
      <c r="E42" s="12" t="s">
        <v>297</v>
      </c>
      <c r="F42" s="12" t="s">
        <v>27</v>
      </c>
      <c r="G42" s="27" t="s">
        <v>408</v>
      </c>
      <c r="H42" s="27" t="s">
        <v>515</v>
      </c>
      <c r="I42" s="30" t="s">
        <v>234</v>
      </c>
      <c r="J42" s="16">
        <v>111111</v>
      </c>
      <c r="K42" t="s">
        <v>54</v>
      </c>
      <c r="N42" s="27" t="s">
        <v>657</v>
      </c>
      <c r="O42" s="27" t="s">
        <v>198</v>
      </c>
      <c r="P42" s="30" t="s">
        <v>755</v>
      </c>
      <c r="Q42" s="30" t="s">
        <v>145</v>
      </c>
      <c r="R42" s="12" t="s">
        <v>144</v>
      </c>
      <c r="S42" t="s">
        <v>55</v>
      </c>
      <c r="T42" t="s">
        <v>56</v>
      </c>
      <c r="U42" t="s">
        <v>57</v>
      </c>
      <c r="V42" t="s">
        <v>58</v>
      </c>
      <c r="W42" t="s">
        <v>59</v>
      </c>
      <c r="Y42" s="1">
        <v>45524</v>
      </c>
      <c r="Z42">
        <v>630900</v>
      </c>
      <c r="AA42" s="33">
        <v>19</v>
      </c>
      <c r="AB42" s="36">
        <v>40</v>
      </c>
      <c r="AC42" s="7" t="s">
        <v>143</v>
      </c>
      <c r="AD42" s="12" t="str">
        <f t="shared" si="0"/>
        <v>C08</v>
      </c>
      <c r="AE42" s="9" t="str">
        <f t="shared" si="1"/>
        <v>NU</v>
      </c>
      <c r="AF42" s="27" t="s">
        <v>793</v>
      </c>
      <c r="AG42" s="30">
        <v>1</v>
      </c>
      <c r="AH42" t="s">
        <v>140</v>
      </c>
      <c r="AI42" s="7" t="s">
        <v>141</v>
      </c>
      <c r="AJ42" s="26">
        <v>46056</v>
      </c>
    </row>
    <row r="43" spans="1:36" ht="12.95" customHeight="1">
      <c r="A43" s="12" t="s">
        <v>114</v>
      </c>
      <c r="B43" s="12" t="s">
        <v>142</v>
      </c>
      <c r="C43">
        <v>41</v>
      </c>
      <c r="D43" t="s">
        <v>52</v>
      </c>
      <c r="E43" s="12" t="s">
        <v>298</v>
      </c>
      <c r="F43" s="12" t="s">
        <v>27</v>
      </c>
      <c r="G43" s="27" t="s">
        <v>409</v>
      </c>
      <c r="H43" s="27" t="s">
        <v>516</v>
      </c>
      <c r="I43" s="30" t="s">
        <v>600</v>
      </c>
      <c r="J43" s="16">
        <v>111111</v>
      </c>
      <c r="K43" t="s">
        <v>54</v>
      </c>
      <c r="N43" s="27" t="s">
        <v>658</v>
      </c>
      <c r="O43" s="27" t="s">
        <v>195</v>
      </c>
      <c r="P43" s="30" t="s">
        <v>749</v>
      </c>
      <c r="Q43" s="30" t="s">
        <v>146</v>
      </c>
      <c r="R43" s="12" t="s">
        <v>144</v>
      </c>
      <c r="S43" t="s">
        <v>55</v>
      </c>
      <c r="T43" t="s">
        <v>56</v>
      </c>
      <c r="U43" t="s">
        <v>57</v>
      </c>
      <c r="V43" t="s">
        <v>58</v>
      </c>
      <c r="W43" t="s">
        <v>59</v>
      </c>
      <c r="Y43" s="1">
        <v>45524</v>
      </c>
      <c r="Z43">
        <v>630900</v>
      </c>
      <c r="AA43" s="33">
        <v>2</v>
      </c>
      <c r="AB43" s="36">
        <v>40</v>
      </c>
      <c r="AC43" s="7" t="s">
        <v>143</v>
      </c>
      <c r="AD43" s="12" t="str">
        <f t="shared" si="0"/>
        <v>C08</v>
      </c>
      <c r="AE43" s="9" t="str">
        <f t="shared" si="1"/>
        <v>NU</v>
      </c>
      <c r="AF43" s="27" t="s">
        <v>794</v>
      </c>
      <c r="AG43" s="30">
        <v>1</v>
      </c>
      <c r="AH43" t="s">
        <v>140</v>
      </c>
      <c r="AI43" s="7" t="s">
        <v>141</v>
      </c>
      <c r="AJ43" s="26">
        <v>46056</v>
      </c>
    </row>
    <row r="44" spans="1:36" ht="12.95" customHeight="1">
      <c r="A44" s="12" t="s">
        <v>115</v>
      </c>
      <c r="B44" s="12" t="s">
        <v>142</v>
      </c>
      <c r="C44">
        <v>42</v>
      </c>
      <c r="D44" t="s">
        <v>52</v>
      </c>
      <c r="E44" s="12" t="s">
        <v>299</v>
      </c>
      <c r="F44" s="12" t="s">
        <v>27</v>
      </c>
      <c r="G44" s="27" t="s">
        <v>410</v>
      </c>
      <c r="H44" s="27" t="s">
        <v>517</v>
      </c>
      <c r="I44" s="30" t="s">
        <v>233</v>
      </c>
      <c r="J44" s="16">
        <v>111111</v>
      </c>
      <c r="K44" t="s">
        <v>54</v>
      </c>
      <c r="N44" s="27" t="s">
        <v>659</v>
      </c>
      <c r="O44" s="27" t="s">
        <v>247</v>
      </c>
      <c r="P44" s="30" t="s">
        <v>749</v>
      </c>
      <c r="Q44" s="30" t="s">
        <v>146</v>
      </c>
      <c r="R44" s="12" t="s">
        <v>144</v>
      </c>
      <c r="S44" t="s">
        <v>55</v>
      </c>
      <c r="T44" t="s">
        <v>56</v>
      </c>
      <c r="U44" t="s">
        <v>57</v>
      </c>
      <c r="V44" t="s">
        <v>58</v>
      </c>
      <c r="W44" t="s">
        <v>59</v>
      </c>
      <c r="Y44" s="1">
        <v>45524</v>
      </c>
      <c r="Z44">
        <v>630900</v>
      </c>
      <c r="AA44" s="33">
        <v>3</v>
      </c>
      <c r="AB44" s="36">
        <v>40</v>
      </c>
      <c r="AC44" s="7" t="s">
        <v>143</v>
      </c>
      <c r="AD44" s="12" t="str">
        <f t="shared" si="0"/>
        <v>C08</v>
      </c>
      <c r="AE44" s="9" t="str">
        <f t="shared" si="1"/>
        <v>NU</v>
      </c>
      <c r="AF44" s="27" t="s">
        <v>175</v>
      </c>
      <c r="AG44" s="30">
        <v>1</v>
      </c>
      <c r="AH44" t="s">
        <v>140</v>
      </c>
      <c r="AI44" s="7" t="s">
        <v>141</v>
      </c>
      <c r="AJ44" s="26">
        <v>46056</v>
      </c>
    </row>
    <row r="45" spans="1:36" ht="12.95" customHeight="1">
      <c r="A45" s="12" t="s">
        <v>116</v>
      </c>
      <c r="B45" s="12" t="s">
        <v>142</v>
      </c>
      <c r="C45">
        <v>43</v>
      </c>
      <c r="D45" t="s">
        <v>52</v>
      </c>
      <c r="E45" s="12" t="s">
        <v>300</v>
      </c>
      <c r="F45" s="12" t="s">
        <v>27</v>
      </c>
      <c r="G45" s="27" t="s">
        <v>411</v>
      </c>
      <c r="H45" s="27" t="s">
        <v>518</v>
      </c>
      <c r="I45" s="30" t="s">
        <v>215</v>
      </c>
      <c r="J45" s="16">
        <v>111111</v>
      </c>
      <c r="K45" t="s">
        <v>54</v>
      </c>
      <c r="N45" s="27" t="s">
        <v>660</v>
      </c>
      <c r="O45" s="27" t="s">
        <v>247</v>
      </c>
      <c r="P45" s="30" t="s">
        <v>749</v>
      </c>
      <c r="Q45" s="30" t="s">
        <v>146</v>
      </c>
      <c r="R45" s="12" t="s">
        <v>144</v>
      </c>
      <c r="S45" t="s">
        <v>55</v>
      </c>
      <c r="T45" t="s">
        <v>56</v>
      </c>
      <c r="U45" t="s">
        <v>57</v>
      </c>
      <c r="V45" t="s">
        <v>58</v>
      </c>
      <c r="W45" t="s">
        <v>59</v>
      </c>
      <c r="Y45" s="1">
        <v>45524</v>
      </c>
      <c r="Z45">
        <v>630900</v>
      </c>
      <c r="AA45" s="33">
        <v>1</v>
      </c>
      <c r="AB45" s="36">
        <v>40</v>
      </c>
      <c r="AC45" s="7" t="s">
        <v>143</v>
      </c>
      <c r="AD45" s="12" t="str">
        <f t="shared" si="0"/>
        <v>C08</v>
      </c>
      <c r="AE45" s="9" t="str">
        <f t="shared" si="1"/>
        <v>NU</v>
      </c>
      <c r="AF45" s="27" t="s">
        <v>175</v>
      </c>
      <c r="AG45" s="30">
        <v>1</v>
      </c>
      <c r="AH45" t="s">
        <v>140</v>
      </c>
      <c r="AI45" s="7" t="s">
        <v>141</v>
      </c>
      <c r="AJ45" s="26">
        <v>46056</v>
      </c>
    </row>
    <row r="46" spans="1:36" ht="12.95" customHeight="1">
      <c r="A46" s="12" t="s">
        <v>117</v>
      </c>
      <c r="B46" s="12" t="s">
        <v>142</v>
      </c>
      <c r="C46">
        <v>44</v>
      </c>
      <c r="D46" t="s">
        <v>52</v>
      </c>
      <c r="E46" s="12" t="s">
        <v>301</v>
      </c>
      <c r="F46" s="12" t="s">
        <v>27</v>
      </c>
      <c r="G46" s="27" t="s">
        <v>412</v>
      </c>
      <c r="H46" s="27" t="s">
        <v>519</v>
      </c>
      <c r="I46" s="30" t="s">
        <v>215</v>
      </c>
      <c r="J46" s="16">
        <v>111111</v>
      </c>
      <c r="K46" t="s">
        <v>54</v>
      </c>
      <c r="N46" s="27" t="s">
        <v>661</v>
      </c>
      <c r="O46" s="27" t="s">
        <v>735</v>
      </c>
      <c r="P46" s="30" t="s">
        <v>749</v>
      </c>
      <c r="Q46" s="30" t="s">
        <v>146</v>
      </c>
      <c r="R46" s="12" t="s">
        <v>144</v>
      </c>
      <c r="S46" t="s">
        <v>55</v>
      </c>
      <c r="T46" t="s">
        <v>56</v>
      </c>
      <c r="U46" t="s">
        <v>57</v>
      </c>
      <c r="V46" t="s">
        <v>58</v>
      </c>
      <c r="W46" t="s">
        <v>59</v>
      </c>
      <c r="Y46" s="1">
        <v>45524</v>
      </c>
      <c r="Z46">
        <v>630900</v>
      </c>
      <c r="AA46" s="33">
        <v>14</v>
      </c>
      <c r="AB46" s="36">
        <v>40</v>
      </c>
      <c r="AC46" s="7" t="s">
        <v>143</v>
      </c>
      <c r="AD46" s="12" t="str">
        <f t="shared" si="0"/>
        <v>C08</v>
      </c>
      <c r="AE46" s="9" t="str">
        <f t="shared" si="1"/>
        <v>NU</v>
      </c>
      <c r="AF46" s="27" t="s">
        <v>148</v>
      </c>
      <c r="AG46" s="30">
        <v>1</v>
      </c>
      <c r="AH46" t="s">
        <v>140</v>
      </c>
      <c r="AI46" s="7" t="s">
        <v>141</v>
      </c>
      <c r="AJ46" s="26">
        <v>46056</v>
      </c>
    </row>
    <row r="47" spans="1:36" ht="12.95" customHeight="1">
      <c r="A47" s="12" t="s">
        <v>118</v>
      </c>
      <c r="B47" s="12" t="s">
        <v>142</v>
      </c>
      <c r="C47">
        <v>45</v>
      </c>
      <c r="D47" t="s">
        <v>52</v>
      </c>
      <c r="E47" s="12" t="s">
        <v>302</v>
      </c>
      <c r="F47" s="12" t="s">
        <v>27</v>
      </c>
      <c r="G47" s="27" t="s">
        <v>413</v>
      </c>
      <c r="H47" s="27" t="s">
        <v>520</v>
      </c>
      <c r="I47" s="30" t="s">
        <v>601</v>
      </c>
      <c r="J47" s="16">
        <v>111111</v>
      </c>
      <c r="K47" t="s">
        <v>54</v>
      </c>
      <c r="N47" s="27" t="s">
        <v>662</v>
      </c>
      <c r="O47" s="27" t="s">
        <v>247</v>
      </c>
      <c r="P47" s="30" t="s">
        <v>749</v>
      </c>
      <c r="Q47" s="30" t="s">
        <v>146</v>
      </c>
      <c r="R47" s="12" t="s">
        <v>144</v>
      </c>
      <c r="S47" t="s">
        <v>55</v>
      </c>
      <c r="T47" t="s">
        <v>56</v>
      </c>
      <c r="U47" t="s">
        <v>57</v>
      </c>
      <c r="V47" t="s">
        <v>58</v>
      </c>
      <c r="W47" t="s">
        <v>59</v>
      </c>
      <c r="Y47" s="1">
        <v>45524</v>
      </c>
      <c r="Z47">
        <v>630900</v>
      </c>
      <c r="AA47" s="33">
        <v>17</v>
      </c>
      <c r="AB47" s="36">
        <v>40</v>
      </c>
      <c r="AC47" s="7" t="s">
        <v>143</v>
      </c>
      <c r="AD47" s="12" t="str">
        <f t="shared" si="0"/>
        <v>C08</v>
      </c>
      <c r="AE47" s="9" t="str">
        <f t="shared" si="1"/>
        <v>NU</v>
      </c>
      <c r="AF47" s="27" t="s">
        <v>175</v>
      </c>
      <c r="AG47" s="30">
        <v>1</v>
      </c>
      <c r="AH47" t="s">
        <v>140</v>
      </c>
      <c r="AI47" s="7" t="s">
        <v>141</v>
      </c>
      <c r="AJ47" s="26">
        <v>46056</v>
      </c>
    </row>
    <row r="48" spans="1:36" ht="12.95" customHeight="1">
      <c r="A48" s="12" t="s">
        <v>119</v>
      </c>
      <c r="B48" s="12" t="s">
        <v>142</v>
      </c>
      <c r="C48">
        <v>46</v>
      </c>
      <c r="D48" t="s">
        <v>52</v>
      </c>
      <c r="E48" s="12" t="s">
        <v>303</v>
      </c>
      <c r="F48" s="12" t="s">
        <v>27</v>
      </c>
      <c r="G48" s="28" t="s">
        <v>414</v>
      </c>
      <c r="H48" s="27" t="s">
        <v>521</v>
      </c>
      <c r="I48" s="30" t="s">
        <v>215</v>
      </c>
      <c r="J48" s="16">
        <v>111111</v>
      </c>
      <c r="K48" t="s">
        <v>54</v>
      </c>
      <c r="N48" s="31" t="s">
        <v>663</v>
      </c>
      <c r="O48" s="27" t="s">
        <v>736</v>
      </c>
      <c r="P48" s="30" t="s">
        <v>756</v>
      </c>
      <c r="Q48" s="30" t="s">
        <v>253</v>
      </c>
      <c r="R48" s="12" t="s">
        <v>144</v>
      </c>
      <c r="S48" t="s">
        <v>55</v>
      </c>
      <c r="T48" t="s">
        <v>56</v>
      </c>
      <c r="U48" t="s">
        <v>57</v>
      </c>
      <c r="V48" t="s">
        <v>58</v>
      </c>
      <c r="W48" t="s">
        <v>59</v>
      </c>
      <c r="Y48" s="1">
        <v>45524</v>
      </c>
      <c r="Z48">
        <v>630900</v>
      </c>
      <c r="AA48" s="33">
        <v>10</v>
      </c>
      <c r="AB48" s="36">
        <v>40</v>
      </c>
      <c r="AC48" s="7" t="s">
        <v>143</v>
      </c>
      <c r="AD48" s="12" t="str">
        <f t="shared" si="0"/>
        <v>C08</v>
      </c>
      <c r="AE48" s="9" t="str">
        <f t="shared" si="1"/>
        <v>NU</v>
      </c>
      <c r="AF48" s="40" t="s">
        <v>257</v>
      </c>
      <c r="AG48" s="30">
        <v>1</v>
      </c>
      <c r="AH48" t="s">
        <v>140</v>
      </c>
      <c r="AI48" s="7" t="s">
        <v>141</v>
      </c>
      <c r="AJ48" s="26">
        <v>46056</v>
      </c>
    </row>
    <row r="49" spans="1:36" ht="12.95" customHeight="1">
      <c r="A49" s="12" t="s">
        <v>120</v>
      </c>
      <c r="B49" s="12" t="s">
        <v>142</v>
      </c>
      <c r="C49">
        <v>47</v>
      </c>
      <c r="D49" t="s">
        <v>52</v>
      </c>
      <c r="E49" s="12" t="s">
        <v>304</v>
      </c>
      <c r="F49" s="12" t="s">
        <v>27</v>
      </c>
      <c r="G49" s="27" t="s">
        <v>415</v>
      </c>
      <c r="H49" s="27" t="s">
        <v>522</v>
      </c>
      <c r="I49" s="30" t="s">
        <v>593</v>
      </c>
      <c r="J49" s="16">
        <v>111111</v>
      </c>
      <c r="K49" t="s">
        <v>54</v>
      </c>
      <c r="N49" s="27" t="s">
        <v>664</v>
      </c>
      <c r="O49" s="27" t="s">
        <v>247</v>
      </c>
      <c r="P49" s="30" t="s">
        <v>749</v>
      </c>
      <c r="Q49" s="30" t="s">
        <v>146</v>
      </c>
      <c r="R49" s="12" t="s">
        <v>144</v>
      </c>
      <c r="S49" t="s">
        <v>55</v>
      </c>
      <c r="T49" t="s">
        <v>56</v>
      </c>
      <c r="U49" t="s">
        <v>57</v>
      </c>
      <c r="V49" t="s">
        <v>58</v>
      </c>
      <c r="W49" t="s">
        <v>59</v>
      </c>
      <c r="Y49" s="1">
        <v>45524</v>
      </c>
      <c r="Z49">
        <v>630900</v>
      </c>
      <c r="AA49" s="33">
        <v>19</v>
      </c>
      <c r="AB49" s="36">
        <v>40</v>
      </c>
      <c r="AC49" s="7" t="s">
        <v>143</v>
      </c>
      <c r="AD49" s="12" t="str">
        <f t="shared" si="0"/>
        <v>C08</v>
      </c>
      <c r="AE49" s="9" t="str">
        <f t="shared" si="1"/>
        <v>NU</v>
      </c>
      <c r="AF49" s="27" t="s">
        <v>795</v>
      </c>
      <c r="AG49" s="30">
        <v>1</v>
      </c>
      <c r="AH49" t="s">
        <v>140</v>
      </c>
      <c r="AI49" s="7" t="s">
        <v>141</v>
      </c>
      <c r="AJ49" s="26">
        <v>46056</v>
      </c>
    </row>
    <row r="50" spans="1:36" ht="12.95" customHeight="1">
      <c r="A50" s="12" t="s">
        <v>121</v>
      </c>
      <c r="B50" s="12" t="s">
        <v>142</v>
      </c>
      <c r="C50">
        <v>48</v>
      </c>
      <c r="D50" t="s">
        <v>52</v>
      </c>
      <c r="E50" s="12" t="s">
        <v>305</v>
      </c>
      <c r="F50" s="12" t="s">
        <v>27</v>
      </c>
      <c r="G50" s="27" t="s">
        <v>416</v>
      </c>
      <c r="H50" s="27" t="s">
        <v>523</v>
      </c>
      <c r="I50" s="30" t="s">
        <v>215</v>
      </c>
      <c r="J50" s="16">
        <v>111111</v>
      </c>
      <c r="K50" t="s">
        <v>54</v>
      </c>
      <c r="N50" s="27" t="s">
        <v>665</v>
      </c>
      <c r="O50" s="27" t="s">
        <v>737</v>
      </c>
      <c r="P50" s="30" t="s">
        <v>757</v>
      </c>
      <c r="Q50" s="30" t="s">
        <v>769</v>
      </c>
      <c r="R50" s="12" t="s">
        <v>144</v>
      </c>
      <c r="S50" t="s">
        <v>55</v>
      </c>
      <c r="T50" t="s">
        <v>56</v>
      </c>
      <c r="U50" t="s">
        <v>57</v>
      </c>
      <c r="V50" t="s">
        <v>58</v>
      </c>
      <c r="W50" t="s">
        <v>59</v>
      </c>
      <c r="Y50" s="1">
        <v>45524</v>
      </c>
      <c r="Z50">
        <v>630900</v>
      </c>
      <c r="AA50" s="33">
        <v>10</v>
      </c>
      <c r="AB50" s="36">
        <v>40</v>
      </c>
      <c r="AC50" s="7" t="s">
        <v>143</v>
      </c>
      <c r="AD50" s="12" t="str">
        <f t="shared" si="0"/>
        <v>C08</v>
      </c>
      <c r="AE50" s="9" t="str">
        <f t="shared" si="1"/>
        <v>NU</v>
      </c>
      <c r="AF50" s="27" t="s">
        <v>796</v>
      </c>
      <c r="AG50" s="30">
        <v>1</v>
      </c>
      <c r="AH50" t="s">
        <v>140</v>
      </c>
      <c r="AI50" s="7" t="s">
        <v>141</v>
      </c>
      <c r="AJ50" s="26">
        <v>46056</v>
      </c>
    </row>
    <row r="51" spans="1:36" ht="12.95" customHeight="1">
      <c r="A51" s="12" t="s">
        <v>122</v>
      </c>
      <c r="B51" s="12" t="s">
        <v>142</v>
      </c>
      <c r="C51">
        <v>49</v>
      </c>
      <c r="D51" t="s">
        <v>52</v>
      </c>
      <c r="E51" s="12" t="s">
        <v>306</v>
      </c>
      <c r="F51" s="12" t="s">
        <v>27</v>
      </c>
      <c r="G51" s="27" t="s">
        <v>417</v>
      </c>
      <c r="H51" s="27" t="s">
        <v>524</v>
      </c>
      <c r="I51" s="30" t="s">
        <v>215</v>
      </c>
      <c r="J51" s="16">
        <v>111111</v>
      </c>
      <c r="K51" t="s">
        <v>54</v>
      </c>
      <c r="N51" s="27" t="s">
        <v>666</v>
      </c>
      <c r="O51" s="27" t="s">
        <v>738</v>
      </c>
      <c r="P51" s="30" t="s">
        <v>758</v>
      </c>
      <c r="Q51" s="30" t="s">
        <v>770</v>
      </c>
      <c r="R51" s="12" t="s">
        <v>144</v>
      </c>
      <c r="S51" t="s">
        <v>55</v>
      </c>
      <c r="T51" t="s">
        <v>56</v>
      </c>
      <c r="U51" t="s">
        <v>57</v>
      </c>
      <c r="V51" t="s">
        <v>58</v>
      </c>
      <c r="W51" t="s">
        <v>59</v>
      </c>
      <c r="Y51" s="1">
        <v>45524</v>
      </c>
      <c r="Z51">
        <v>630900</v>
      </c>
      <c r="AA51" s="33">
        <v>24</v>
      </c>
      <c r="AB51" s="36">
        <v>40</v>
      </c>
      <c r="AC51" s="7" t="s">
        <v>143</v>
      </c>
      <c r="AD51" s="12" t="str">
        <f t="shared" si="0"/>
        <v>C08</v>
      </c>
      <c r="AE51" s="9" t="str">
        <f t="shared" si="1"/>
        <v>NU</v>
      </c>
      <c r="AF51" s="27" t="s">
        <v>797</v>
      </c>
      <c r="AG51" s="30">
        <v>2</v>
      </c>
      <c r="AH51" t="s">
        <v>140</v>
      </c>
      <c r="AI51" s="7" t="s">
        <v>141</v>
      </c>
      <c r="AJ51" s="26">
        <v>46056</v>
      </c>
    </row>
    <row r="52" spans="1:36" ht="12.95" customHeight="1">
      <c r="A52" s="12" t="s">
        <v>123</v>
      </c>
      <c r="B52" s="12" t="s">
        <v>142</v>
      </c>
      <c r="C52">
        <v>50</v>
      </c>
      <c r="D52" t="s">
        <v>52</v>
      </c>
      <c r="E52" s="12" t="s">
        <v>307</v>
      </c>
      <c r="F52" s="12" t="s">
        <v>27</v>
      </c>
      <c r="G52" s="27" t="s">
        <v>418</v>
      </c>
      <c r="H52" s="27" t="s">
        <v>524</v>
      </c>
      <c r="I52" s="30" t="s">
        <v>215</v>
      </c>
      <c r="J52" s="16">
        <v>111111</v>
      </c>
      <c r="K52" t="s">
        <v>54</v>
      </c>
      <c r="N52" s="27" t="s">
        <v>666</v>
      </c>
      <c r="O52" s="27" t="s">
        <v>738</v>
      </c>
      <c r="P52" s="30" t="s">
        <v>758</v>
      </c>
      <c r="Q52" s="30" t="s">
        <v>770</v>
      </c>
      <c r="R52" s="12" t="s">
        <v>144</v>
      </c>
      <c r="S52" t="s">
        <v>55</v>
      </c>
      <c r="T52" t="s">
        <v>56</v>
      </c>
      <c r="U52" t="s">
        <v>57</v>
      </c>
      <c r="V52" t="s">
        <v>58</v>
      </c>
      <c r="W52" t="s">
        <v>59</v>
      </c>
      <c r="Y52" s="1">
        <v>45524</v>
      </c>
      <c r="Z52">
        <v>630900</v>
      </c>
      <c r="AA52" s="33">
        <v>15</v>
      </c>
      <c r="AB52" s="36">
        <v>40</v>
      </c>
      <c r="AC52" s="7" t="s">
        <v>143</v>
      </c>
      <c r="AD52" s="12" t="str">
        <f t="shared" si="0"/>
        <v>C08</v>
      </c>
      <c r="AE52" s="9" t="str">
        <f t="shared" si="1"/>
        <v>NU</v>
      </c>
      <c r="AF52" s="27" t="s">
        <v>797</v>
      </c>
      <c r="AG52" s="30">
        <v>1</v>
      </c>
      <c r="AH52" t="s">
        <v>140</v>
      </c>
      <c r="AI52" s="7" t="s">
        <v>141</v>
      </c>
      <c r="AJ52" s="26">
        <v>46056</v>
      </c>
    </row>
    <row r="53" spans="1:36" ht="12.95" customHeight="1">
      <c r="A53" s="12" t="s">
        <v>124</v>
      </c>
      <c r="B53" s="12" t="s">
        <v>142</v>
      </c>
      <c r="C53">
        <v>51</v>
      </c>
      <c r="D53" t="s">
        <v>52</v>
      </c>
      <c r="E53" s="12" t="s">
        <v>308</v>
      </c>
      <c r="F53" s="12" t="s">
        <v>27</v>
      </c>
      <c r="G53" s="27" t="s">
        <v>419</v>
      </c>
      <c r="H53" s="27" t="s">
        <v>525</v>
      </c>
      <c r="I53" s="30" t="s">
        <v>215</v>
      </c>
      <c r="J53" s="16">
        <v>111111</v>
      </c>
      <c r="K53" t="s">
        <v>54</v>
      </c>
      <c r="N53" s="27" t="s">
        <v>667</v>
      </c>
      <c r="O53" s="27" t="s">
        <v>247</v>
      </c>
      <c r="P53" s="30" t="s">
        <v>749</v>
      </c>
      <c r="Q53" s="30" t="s">
        <v>146</v>
      </c>
      <c r="R53" s="12" t="s">
        <v>144</v>
      </c>
      <c r="S53" t="s">
        <v>55</v>
      </c>
      <c r="T53" t="s">
        <v>56</v>
      </c>
      <c r="U53" t="s">
        <v>57</v>
      </c>
      <c r="V53" t="s">
        <v>58</v>
      </c>
      <c r="W53" t="s">
        <v>59</v>
      </c>
      <c r="Y53" s="1">
        <v>45524</v>
      </c>
      <c r="Z53">
        <v>630900</v>
      </c>
      <c r="AA53" s="33">
        <v>18</v>
      </c>
      <c r="AB53" s="37">
        <v>40</v>
      </c>
      <c r="AC53" s="7" t="s">
        <v>143</v>
      </c>
      <c r="AD53" s="12" t="str">
        <f t="shared" si="0"/>
        <v>C08</v>
      </c>
      <c r="AE53" s="9" t="str">
        <f t="shared" si="1"/>
        <v>NU</v>
      </c>
      <c r="AF53" s="27" t="s">
        <v>798</v>
      </c>
      <c r="AG53" s="30">
        <v>1</v>
      </c>
      <c r="AH53" t="s">
        <v>140</v>
      </c>
      <c r="AI53" s="7" t="s">
        <v>141</v>
      </c>
      <c r="AJ53" s="26">
        <v>46056</v>
      </c>
    </row>
    <row r="54" spans="1:36" ht="12.95" customHeight="1">
      <c r="A54" s="12" t="s">
        <v>125</v>
      </c>
      <c r="B54" s="12" t="s">
        <v>142</v>
      </c>
      <c r="C54">
        <v>52</v>
      </c>
      <c r="D54" t="s">
        <v>52</v>
      </c>
      <c r="E54" s="12" t="s">
        <v>309</v>
      </c>
      <c r="F54" s="12" t="s">
        <v>27</v>
      </c>
      <c r="G54" s="27" t="s">
        <v>420</v>
      </c>
      <c r="H54" s="27" t="s">
        <v>526</v>
      </c>
      <c r="I54" s="30" t="s">
        <v>218</v>
      </c>
      <c r="J54" s="16">
        <v>111111</v>
      </c>
      <c r="K54" t="s">
        <v>54</v>
      </c>
      <c r="N54" s="27" t="s">
        <v>668</v>
      </c>
      <c r="O54" s="27" t="s">
        <v>247</v>
      </c>
      <c r="P54" s="30" t="s">
        <v>749</v>
      </c>
      <c r="Q54" s="30" t="s">
        <v>146</v>
      </c>
      <c r="R54" s="12" t="s">
        <v>144</v>
      </c>
      <c r="S54" t="s">
        <v>55</v>
      </c>
      <c r="T54" t="s">
        <v>56</v>
      </c>
      <c r="U54" t="s">
        <v>57</v>
      </c>
      <c r="V54" t="s">
        <v>58</v>
      </c>
      <c r="W54" t="s">
        <v>59</v>
      </c>
      <c r="Y54" s="1">
        <v>45524</v>
      </c>
      <c r="Z54">
        <v>630900</v>
      </c>
      <c r="AA54" s="33">
        <v>22</v>
      </c>
      <c r="AB54" s="36">
        <v>65</v>
      </c>
      <c r="AC54" s="7" t="s">
        <v>143</v>
      </c>
      <c r="AD54" s="12" t="str">
        <f t="shared" si="0"/>
        <v>C07</v>
      </c>
      <c r="AE54" s="9" t="str">
        <f t="shared" si="1"/>
        <v>DA</v>
      </c>
      <c r="AF54" s="27" t="s">
        <v>799</v>
      </c>
      <c r="AG54" s="30">
        <v>1</v>
      </c>
      <c r="AH54" t="s">
        <v>140</v>
      </c>
      <c r="AI54" s="7" t="s">
        <v>141</v>
      </c>
      <c r="AJ54" s="26">
        <v>46056</v>
      </c>
    </row>
    <row r="55" spans="1:36" ht="12.95" customHeight="1">
      <c r="A55" s="12" t="s">
        <v>126</v>
      </c>
      <c r="B55" s="12" t="s">
        <v>142</v>
      </c>
      <c r="C55">
        <v>53</v>
      </c>
      <c r="D55" t="s">
        <v>52</v>
      </c>
      <c r="E55" s="12" t="s">
        <v>310</v>
      </c>
      <c r="F55" s="12" t="s">
        <v>27</v>
      </c>
      <c r="G55" s="27" t="s">
        <v>421</v>
      </c>
      <c r="H55" s="27" t="s">
        <v>527</v>
      </c>
      <c r="I55" s="30" t="s">
        <v>219</v>
      </c>
      <c r="J55" s="16">
        <v>111111</v>
      </c>
      <c r="K55" t="s">
        <v>54</v>
      </c>
      <c r="N55" s="27" t="s">
        <v>669</v>
      </c>
      <c r="O55" s="27" t="s">
        <v>247</v>
      </c>
      <c r="P55" s="30" t="s">
        <v>749</v>
      </c>
      <c r="Q55" s="30" t="s">
        <v>146</v>
      </c>
      <c r="R55" s="12" t="s">
        <v>144</v>
      </c>
      <c r="S55" t="s">
        <v>55</v>
      </c>
      <c r="T55" t="s">
        <v>56</v>
      </c>
      <c r="U55" t="s">
        <v>57</v>
      </c>
      <c r="V55" t="s">
        <v>58</v>
      </c>
      <c r="W55" t="s">
        <v>59</v>
      </c>
      <c r="Y55" s="1">
        <v>45524</v>
      </c>
      <c r="Z55">
        <v>630900</v>
      </c>
      <c r="AA55" s="33">
        <v>11</v>
      </c>
      <c r="AB55" s="36">
        <v>40</v>
      </c>
      <c r="AC55" s="7" t="s">
        <v>143</v>
      </c>
      <c r="AD55" s="12" t="str">
        <f t="shared" si="0"/>
        <v>C08</v>
      </c>
      <c r="AE55" s="9" t="str">
        <f t="shared" si="1"/>
        <v>NU</v>
      </c>
      <c r="AF55" s="27" t="s">
        <v>176</v>
      </c>
      <c r="AG55" s="30">
        <v>1</v>
      </c>
      <c r="AH55" t="s">
        <v>140</v>
      </c>
      <c r="AI55" s="7" t="s">
        <v>141</v>
      </c>
      <c r="AJ55" s="26">
        <v>46056</v>
      </c>
    </row>
    <row r="56" spans="1:36" ht="12.95" customHeight="1">
      <c r="A56" s="12" t="s">
        <v>127</v>
      </c>
      <c r="B56" s="12" t="s">
        <v>142</v>
      </c>
      <c r="C56">
        <v>54</v>
      </c>
      <c r="D56" t="s">
        <v>52</v>
      </c>
      <c r="E56" s="12" t="s">
        <v>311</v>
      </c>
      <c r="F56" s="12" t="s">
        <v>27</v>
      </c>
      <c r="G56" s="27" t="s">
        <v>422</v>
      </c>
      <c r="H56" s="27" t="s">
        <v>528</v>
      </c>
      <c r="I56" s="30" t="s">
        <v>216</v>
      </c>
      <c r="J56" s="16">
        <v>111111</v>
      </c>
      <c r="K56" t="s">
        <v>54</v>
      </c>
      <c r="N56" s="27" t="s">
        <v>670</v>
      </c>
      <c r="O56" s="27" t="s">
        <v>247</v>
      </c>
      <c r="P56" s="30" t="s">
        <v>749</v>
      </c>
      <c r="Q56" s="30" t="s">
        <v>146</v>
      </c>
      <c r="R56" s="12" t="s">
        <v>144</v>
      </c>
      <c r="S56" t="s">
        <v>55</v>
      </c>
      <c r="T56" t="s">
        <v>56</v>
      </c>
      <c r="U56" t="s">
        <v>57</v>
      </c>
      <c r="V56" t="s">
        <v>58</v>
      </c>
      <c r="W56" t="s">
        <v>59</v>
      </c>
      <c r="Y56" s="1">
        <v>45524</v>
      </c>
      <c r="Z56">
        <v>630900</v>
      </c>
      <c r="AA56" s="33">
        <v>12</v>
      </c>
      <c r="AB56" s="36">
        <v>40</v>
      </c>
      <c r="AC56" s="7" t="s">
        <v>143</v>
      </c>
      <c r="AD56" s="12" t="str">
        <f t="shared" si="0"/>
        <v>C08</v>
      </c>
      <c r="AE56" s="9" t="str">
        <f t="shared" si="1"/>
        <v>NU</v>
      </c>
      <c r="AF56" s="27" t="s">
        <v>800</v>
      </c>
      <c r="AG56" s="30">
        <v>1</v>
      </c>
      <c r="AH56" t="s">
        <v>140</v>
      </c>
      <c r="AI56" s="7" t="s">
        <v>141</v>
      </c>
      <c r="AJ56" s="26">
        <v>46056</v>
      </c>
    </row>
    <row r="57" spans="1:36" ht="12.95" customHeight="1">
      <c r="A57" s="12" t="s">
        <v>128</v>
      </c>
      <c r="B57" s="12" t="s">
        <v>142</v>
      </c>
      <c r="C57">
        <v>55</v>
      </c>
      <c r="D57" t="s">
        <v>52</v>
      </c>
      <c r="E57" s="12" t="s">
        <v>312</v>
      </c>
      <c r="F57" s="12" t="s">
        <v>27</v>
      </c>
      <c r="G57" s="27" t="s">
        <v>203</v>
      </c>
      <c r="H57" s="27" t="s">
        <v>209</v>
      </c>
      <c r="I57" s="30" t="s">
        <v>225</v>
      </c>
      <c r="J57" s="16">
        <v>111111</v>
      </c>
      <c r="K57" t="s">
        <v>54</v>
      </c>
      <c r="N57" s="27" t="s">
        <v>239</v>
      </c>
      <c r="O57" s="27" t="s">
        <v>247</v>
      </c>
      <c r="P57" s="30" t="s">
        <v>749</v>
      </c>
      <c r="Q57" s="30" t="s">
        <v>146</v>
      </c>
      <c r="R57" s="12" t="s">
        <v>144</v>
      </c>
      <c r="S57" t="s">
        <v>55</v>
      </c>
      <c r="T57" t="s">
        <v>56</v>
      </c>
      <c r="U57" t="s">
        <v>57</v>
      </c>
      <c r="V57" t="s">
        <v>58</v>
      </c>
      <c r="W57" t="s">
        <v>59</v>
      </c>
      <c r="Y57" s="1">
        <v>45524</v>
      </c>
      <c r="Z57">
        <v>630900</v>
      </c>
      <c r="AA57" s="33">
        <v>9</v>
      </c>
      <c r="AB57" s="36">
        <v>40</v>
      </c>
      <c r="AC57" s="7" t="s">
        <v>143</v>
      </c>
      <c r="AD57" s="12" t="str">
        <f t="shared" si="0"/>
        <v>C08</v>
      </c>
      <c r="AE57" s="9" t="str">
        <f t="shared" si="1"/>
        <v>NU</v>
      </c>
      <c r="AF57" s="27" t="s">
        <v>175</v>
      </c>
      <c r="AG57" s="30">
        <v>1</v>
      </c>
      <c r="AH57" t="s">
        <v>140</v>
      </c>
      <c r="AI57" s="7" t="s">
        <v>141</v>
      </c>
      <c r="AJ57" s="26">
        <v>46056</v>
      </c>
    </row>
    <row r="58" spans="1:36" ht="12.95" customHeight="1">
      <c r="A58" s="12" t="s">
        <v>129</v>
      </c>
      <c r="B58" s="12" t="s">
        <v>142</v>
      </c>
      <c r="C58">
        <v>56</v>
      </c>
      <c r="D58" t="s">
        <v>52</v>
      </c>
      <c r="E58" s="12" t="s">
        <v>313</v>
      </c>
      <c r="F58" s="12" t="s">
        <v>27</v>
      </c>
      <c r="G58" s="27" t="s">
        <v>423</v>
      </c>
      <c r="H58" s="27" t="s">
        <v>529</v>
      </c>
      <c r="I58" s="30" t="s">
        <v>602</v>
      </c>
      <c r="J58" s="16">
        <v>111111</v>
      </c>
      <c r="K58" t="s">
        <v>54</v>
      </c>
      <c r="N58" s="27" t="s">
        <v>671</v>
      </c>
      <c r="O58" s="27" t="s">
        <v>247</v>
      </c>
      <c r="P58" s="30" t="s">
        <v>749</v>
      </c>
      <c r="Q58" s="30" t="s">
        <v>146</v>
      </c>
      <c r="R58" s="12" t="s">
        <v>144</v>
      </c>
      <c r="S58" t="s">
        <v>55</v>
      </c>
      <c r="T58" t="s">
        <v>56</v>
      </c>
      <c r="U58" t="s">
        <v>57</v>
      </c>
      <c r="V58" t="s">
        <v>58</v>
      </c>
      <c r="W58" t="s">
        <v>59</v>
      </c>
      <c r="Y58" s="1">
        <v>45524</v>
      </c>
      <c r="Z58">
        <v>630900</v>
      </c>
      <c r="AA58" s="33">
        <v>19</v>
      </c>
      <c r="AB58" s="36">
        <v>40</v>
      </c>
      <c r="AC58" s="7" t="s">
        <v>143</v>
      </c>
      <c r="AD58" s="12" t="str">
        <f t="shared" si="0"/>
        <v>C08</v>
      </c>
      <c r="AE58" s="9" t="str">
        <f t="shared" si="1"/>
        <v>NU</v>
      </c>
      <c r="AF58" s="27" t="s">
        <v>175</v>
      </c>
      <c r="AG58" s="30">
        <v>1</v>
      </c>
      <c r="AH58" t="s">
        <v>140</v>
      </c>
      <c r="AI58" s="7" t="s">
        <v>141</v>
      </c>
      <c r="AJ58" s="26">
        <v>46056</v>
      </c>
    </row>
    <row r="59" spans="1:36" ht="12.95" customHeight="1">
      <c r="A59" s="12" t="s">
        <v>130</v>
      </c>
      <c r="B59" s="12" t="s">
        <v>142</v>
      </c>
      <c r="C59">
        <v>57</v>
      </c>
      <c r="D59" t="s">
        <v>52</v>
      </c>
      <c r="E59" s="12" t="s">
        <v>314</v>
      </c>
      <c r="F59" s="12" t="s">
        <v>27</v>
      </c>
      <c r="G59" s="27" t="s">
        <v>424</v>
      </c>
      <c r="H59" s="27" t="s">
        <v>530</v>
      </c>
      <c r="I59" s="30" t="s">
        <v>231</v>
      </c>
      <c r="J59" s="16">
        <v>111111</v>
      </c>
      <c r="K59" t="s">
        <v>54</v>
      </c>
      <c r="N59" s="27" t="s">
        <v>672</v>
      </c>
      <c r="O59" s="27" t="s">
        <v>247</v>
      </c>
      <c r="P59" s="30" t="s">
        <v>749</v>
      </c>
      <c r="Q59" s="30" t="s">
        <v>146</v>
      </c>
      <c r="R59" s="12" t="s">
        <v>144</v>
      </c>
      <c r="S59" t="s">
        <v>55</v>
      </c>
      <c r="T59" t="s">
        <v>56</v>
      </c>
      <c r="U59" t="s">
        <v>57</v>
      </c>
      <c r="V59" t="s">
        <v>58</v>
      </c>
      <c r="W59" t="s">
        <v>59</v>
      </c>
      <c r="Y59" s="1">
        <v>45524</v>
      </c>
      <c r="Z59">
        <v>630900</v>
      </c>
      <c r="AA59" s="33">
        <v>18</v>
      </c>
      <c r="AB59" s="36">
        <v>150</v>
      </c>
      <c r="AC59" s="7" t="s">
        <v>143</v>
      </c>
      <c r="AD59" s="12" t="str">
        <f t="shared" si="0"/>
        <v>C07</v>
      </c>
      <c r="AE59" s="9" t="str">
        <f t="shared" si="1"/>
        <v>DA</v>
      </c>
      <c r="AF59" s="27" t="s">
        <v>801</v>
      </c>
      <c r="AG59" s="30">
        <v>1</v>
      </c>
      <c r="AH59" t="s">
        <v>140</v>
      </c>
      <c r="AI59" s="7" t="s">
        <v>141</v>
      </c>
      <c r="AJ59" s="26">
        <v>46056</v>
      </c>
    </row>
    <row r="60" spans="1:36" ht="12.95" customHeight="1">
      <c r="A60" s="12" t="s">
        <v>131</v>
      </c>
      <c r="B60" s="12" t="s">
        <v>142</v>
      </c>
      <c r="C60">
        <v>58</v>
      </c>
      <c r="D60" t="s">
        <v>52</v>
      </c>
      <c r="E60" s="12" t="s">
        <v>315</v>
      </c>
      <c r="F60" s="12" t="s">
        <v>27</v>
      </c>
      <c r="G60" s="27" t="s">
        <v>425</v>
      </c>
      <c r="H60" s="27" t="s">
        <v>531</v>
      </c>
      <c r="I60" s="30" t="s">
        <v>217</v>
      </c>
      <c r="J60" s="16">
        <v>111111</v>
      </c>
      <c r="K60" t="s">
        <v>54</v>
      </c>
      <c r="N60" s="27" t="s">
        <v>673</v>
      </c>
      <c r="O60" s="27" t="s">
        <v>247</v>
      </c>
      <c r="P60" s="30" t="s">
        <v>749</v>
      </c>
      <c r="Q60" s="30" t="s">
        <v>146</v>
      </c>
      <c r="R60" s="12" t="s">
        <v>144</v>
      </c>
      <c r="S60" t="s">
        <v>55</v>
      </c>
      <c r="T60" t="s">
        <v>56</v>
      </c>
      <c r="U60" t="s">
        <v>57</v>
      </c>
      <c r="V60" t="s">
        <v>58</v>
      </c>
      <c r="W60" t="s">
        <v>59</v>
      </c>
      <c r="Y60" s="1">
        <v>45524</v>
      </c>
      <c r="Z60">
        <v>630900</v>
      </c>
      <c r="AA60" s="33">
        <v>16</v>
      </c>
      <c r="AB60" s="36">
        <v>40</v>
      </c>
      <c r="AC60" s="7" t="s">
        <v>143</v>
      </c>
      <c r="AD60" s="12" t="str">
        <f t="shared" si="0"/>
        <v>C08</v>
      </c>
      <c r="AE60" s="9" t="str">
        <f t="shared" si="1"/>
        <v>NU</v>
      </c>
      <c r="AF60" s="27" t="s">
        <v>802</v>
      </c>
      <c r="AG60" s="30">
        <v>1</v>
      </c>
      <c r="AH60" t="s">
        <v>140</v>
      </c>
      <c r="AI60" s="7" t="s">
        <v>141</v>
      </c>
      <c r="AJ60" s="26">
        <v>46056</v>
      </c>
    </row>
    <row r="61" spans="1:36" ht="12.95" customHeight="1">
      <c r="A61" s="12" t="s">
        <v>132</v>
      </c>
      <c r="B61" s="12" t="s">
        <v>142</v>
      </c>
      <c r="C61">
        <v>59</v>
      </c>
      <c r="D61" t="s">
        <v>52</v>
      </c>
      <c r="E61" s="12" t="s">
        <v>316</v>
      </c>
      <c r="F61" s="12" t="s">
        <v>27</v>
      </c>
      <c r="G61" s="27" t="s">
        <v>426</v>
      </c>
      <c r="H61" s="27" t="s">
        <v>532</v>
      </c>
      <c r="I61" s="30" t="s">
        <v>226</v>
      </c>
      <c r="J61" s="16">
        <v>111111</v>
      </c>
      <c r="K61" t="s">
        <v>54</v>
      </c>
      <c r="N61" s="27" t="s">
        <v>674</v>
      </c>
      <c r="O61" s="27" t="s">
        <v>247</v>
      </c>
      <c r="P61" s="30" t="s">
        <v>749</v>
      </c>
      <c r="Q61" s="30" t="s">
        <v>146</v>
      </c>
      <c r="R61" s="12" t="s">
        <v>144</v>
      </c>
      <c r="S61" t="s">
        <v>55</v>
      </c>
      <c r="T61" t="s">
        <v>56</v>
      </c>
      <c r="U61" t="s">
        <v>57</v>
      </c>
      <c r="V61" t="s">
        <v>58</v>
      </c>
      <c r="W61" t="s">
        <v>59</v>
      </c>
      <c r="Y61" s="1">
        <v>45524</v>
      </c>
      <c r="Z61">
        <v>630900</v>
      </c>
      <c r="AA61" s="33">
        <v>6</v>
      </c>
      <c r="AB61" s="36">
        <v>40</v>
      </c>
      <c r="AC61" s="7" t="s">
        <v>143</v>
      </c>
      <c r="AD61" s="12" t="str">
        <f t="shared" si="0"/>
        <v>C08</v>
      </c>
      <c r="AE61" s="9" t="str">
        <f t="shared" si="1"/>
        <v>NU</v>
      </c>
      <c r="AF61" s="27" t="s">
        <v>175</v>
      </c>
      <c r="AG61" s="30">
        <v>1</v>
      </c>
      <c r="AH61" t="s">
        <v>140</v>
      </c>
      <c r="AI61" s="7" t="s">
        <v>141</v>
      </c>
      <c r="AJ61" s="26">
        <v>46056</v>
      </c>
    </row>
    <row r="62" spans="1:36" ht="12.95" customHeight="1">
      <c r="A62" s="12" t="s">
        <v>133</v>
      </c>
      <c r="B62" s="12" t="s">
        <v>142</v>
      </c>
      <c r="C62">
        <v>60</v>
      </c>
      <c r="D62" t="s">
        <v>52</v>
      </c>
      <c r="E62" s="12" t="s">
        <v>317</v>
      </c>
      <c r="F62" s="12" t="s">
        <v>27</v>
      </c>
      <c r="G62" s="27" t="s">
        <v>427</v>
      </c>
      <c r="H62" s="27" t="s">
        <v>533</v>
      </c>
      <c r="I62" s="30" t="s">
        <v>603</v>
      </c>
      <c r="J62" s="16">
        <v>111111</v>
      </c>
      <c r="K62" t="s">
        <v>54</v>
      </c>
      <c r="N62" s="27" t="s">
        <v>675</v>
      </c>
      <c r="O62" s="27" t="s">
        <v>247</v>
      </c>
      <c r="P62" s="30" t="s">
        <v>749</v>
      </c>
      <c r="Q62" s="30" t="s">
        <v>146</v>
      </c>
      <c r="R62" s="12" t="s">
        <v>144</v>
      </c>
      <c r="S62" t="s">
        <v>55</v>
      </c>
      <c r="T62" t="s">
        <v>56</v>
      </c>
      <c r="U62" t="s">
        <v>57</v>
      </c>
      <c r="V62" t="s">
        <v>58</v>
      </c>
      <c r="W62" t="s">
        <v>59</v>
      </c>
      <c r="Y62" s="1">
        <v>45524</v>
      </c>
      <c r="Z62">
        <v>630900</v>
      </c>
      <c r="AA62" s="33">
        <v>6</v>
      </c>
      <c r="AB62" s="36">
        <v>40</v>
      </c>
      <c r="AC62" s="7" t="s">
        <v>143</v>
      </c>
      <c r="AD62" s="12" t="str">
        <f t="shared" si="0"/>
        <v>C08</v>
      </c>
      <c r="AE62" s="9" t="str">
        <f t="shared" si="1"/>
        <v>NU</v>
      </c>
      <c r="AF62" s="27" t="s">
        <v>175</v>
      </c>
      <c r="AG62" s="30">
        <v>1</v>
      </c>
      <c r="AH62" t="s">
        <v>140</v>
      </c>
      <c r="AI62" s="7" t="s">
        <v>141</v>
      </c>
      <c r="AJ62" s="26">
        <v>46056</v>
      </c>
    </row>
    <row r="63" spans="1:36" ht="12.95" customHeight="1">
      <c r="A63" s="12" t="s">
        <v>134</v>
      </c>
      <c r="B63" s="12" t="s">
        <v>142</v>
      </c>
      <c r="C63">
        <v>61</v>
      </c>
      <c r="D63" t="s">
        <v>52</v>
      </c>
      <c r="E63" s="12" t="s">
        <v>318</v>
      </c>
      <c r="F63" s="12" t="s">
        <v>27</v>
      </c>
      <c r="G63" s="27" t="s">
        <v>428</v>
      </c>
      <c r="H63" s="27" t="s">
        <v>534</v>
      </c>
      <c r="I63" s="30" t="s">
        <v>604</v>
      </c>
      <c r="J63" s="16">
        <v>111111</v>
      </c>
      <c r="K63" t="s">
        <v>54</v>
      </c>
      <c r="N63" s="27" t="s">
        <v>676</v>
      </c>
      <c r="O63" s="27" t="s">
        <v>739</v>
      </c>
      <c r="P63" s="30" t="s">
        <v>759</v>
      </c>
      <c r="Q63" s="30" t="s">
        <v>771</v>
      </c>
      <c r="R63" s="12" t="s">
        <v>144</v>
      </c>
      <c r="S63" t="s">
        <v>55</v>
      </c>
      <c r="T63" t="s">
        <v>56</v>
      </c>
      <c r="U63" t="s">
        <v>57</v>
      </c>
      <c r="V63" t="s">
        <v>58</v>
      </c>
      <c r="W63" t="s">
        <v>59</v>
      </c>
      <c r="Y63" s="1">
        <v>45524</v>
      </c>
      <c r="Z63">
        <v>630900</v>
      </c>
      <c r="AA63" s="33">
        <v>2</v>
      </c>
      <c r="AB63" s="36">
        <v>40</v>
      </c>
      <c r="AC63" s="7" t="s">
        <v>143</v>
      </c>
      <c r="AD63" s="12" t="str">
        <f t="shared" si="0"/>
        <v>C08</v>
      </c>
      <c r="AE63" s="9" t="str">
        <f t="shared" si="1"/>
        <v>NU</v>
      </c>
      <c r="AF63" s="27" t="s">
        <v>176</v>
      </c>
      <c r="AG63" s="30">
        <v>1</v>
      </c>
      <c r="AH63" t="s">
        <v>140</v>
      </c>
      <c r="AI63" s="7" t="s">
        <v>141</v>
      </c>
      <c r="AJ63" s="26">
        <v>46056</v>
      </c>
    </row>
    <row r="64" spans="1:36" ht="12.95" customHeight="1">
      <c r="A64" s="12" t="s">
        <v>135</v>
      </c>
      <c r="B64" s="12" t="s">
        <v>142</v>
      </c>
      <c r="C64">
        <v>62</v>
      </c>
      <c r="D64" t="s">
        <v>52</v>
      </c>
      <c r="E64" s="12" t="s">
        <v>319</v>
      </c>
      <c r="F64" s="12" t="s">
        <v>27</v>
      </c>
      <c r="G64" s="27" t="s">
        <v>429</v>
      </c>
      <c r="H64" s="27" t="s">
        <v>535</v>
      </c>
      <c r="I64" s="30" t="s">
        <v>222</v>
      </c>
      <c r="J64" s="16">
        <v>111111</v>
      </c>
      <c r="K64" t="s">
        <v>54</v>
      </c>
      <c r="N64" s="27" t="s">
        <v>677</v>
      </c>
      <c r="O64" s="27" t="s">
        <v>247</v>
      </c>
      <c r="P64" s="30" t="s">
        <v>749</v>
      </c>
      <c r="Q64" s="30" t="s">
        <v>146</v>
      </c>
      <c r="R64" s="12" t="s">
        <v>144</v>
      </c>
      <c r="S64" t="s">
        <v>55</v>
      </c>
      <c r="T64" t="s">
        <v>56</v>
      </c>
      <c r="U64" t="s">
        <v>57</v>
      </c>
      <c r="V64" t="s">
        <v>58</v>
      </c>
      <c r="W64" t="s">
        <v>59</v>
      </c>
      <c r="Y64" s="1">
        <v>45524</v>
      </c>
      <c r="Z64">
        <v>630900</v>
      </c>
      <c r="AA64" s="33">
        <v>3</v>
      </c>
      <c r="AB64" s="36">
        <v>40</v>
      </c>
      <c r="AC64" s="7" t="s">
        <v>143</v>
      </c>
      <c r="AD64" s="12" t="str">
        <f t="shared" si="0"/>
        <v>C08</v>
      </c>
      <c r="AE64" s="9" t="str">
        <f t="shared" si="1"/>
        <v>NU</v>
      </c>
      <c r="AF64" s="27" t="s">
        <v>175</v>
      </c>
      <c r="AG64" s="30">
        <v>1</v>
      </c>
      <c r="AH64" t="s">
        <v>140</v>
      </c>
      <c r="AI64" s="7" t="s">
        <v>141</v>
      </c>
      <c r="AJ64" s="26">
        <v>46056</v>
      </c>
    </row>
    <row r="65" spans="1:36" ht="12.95" customHeight="1">
      <c r="A65" s="12" t="s">
        <v>136</v>
      </c>
      <c r="B65" s="12" t="s">
        <v>142</v>
      </c>
      <c r="C65">
        <v>63</v>
      </c>
      <c r="D65" t="s">
        <v>52</v>
      </c>
      <c r="E65" s="12" t="s">
        <v>320</v>
      </c>
      <c r="F65" s="12" t="s">
        <v>27</v>
      </c>
      <c r="G65" s="27" t="s">
        <v>430</v>
      </c>
      <c r="H65" s="27" t="s">
        <v>536</v>
      </c>
      <c r="I65" s="30" t="s">
        <v>605</v>
      </c>
      <c r="J65" s="16">
        <v>111111</v>
      </c>
      <c r="K65" t="s">
        <v>54</v>
      </c>
      <c r="N65" s="27" t="s">
        <v>678</v>
      </c>
      <c r="O65" s="27" t="s">
        <v>247</v>
      </c>
      <c r="P65" s="30" t="s">
        <v>749</v>
      </c>
      <c r="Q65" s="30" t="s">
        <v>146</v>
      </c>
      <c r="R65" s="12" t="s">
        <v>144</v>
      </c>
      <c r="S65" t="s">
        <v>55</v>
      </c>
      <c r="T65" t="s">
        <v>56</v>
      </c>
      <c r="U65" t="s">
        <v>57</v>
      </c>
      <c r="V65" t="s">
        <v>58</v>
      </c>
      <c r="W65" t="s">
        <v>59</v>
      </c>
      <c r="Y65" s="1">
        <v>45524</v>
      </c>
      <c r="Z65">
        <v>630900</v>
      </c>
      <c r="AA65" s="33">
        <v>9</v>
      </c>
      <c r="AB65" s="36">
        <v>40</v>
      </c>
      <c r="AC65" s="7" t="s">
        <v>143</v>
      </c>
      <c r="AD65" s="12" t="str">
        <f t="shared" si="0"/>
        <v>C08</v>
      </c>
      <c r="AE65" s="9" t="str">
        <f t="shared" si="1"/>
        <v>NU</v>
      </c>
      <c r="AF65" s="27" t="s">
        <v>803</v>
      </c>
      <c r="AG65" s="30">
        <v>1</v>
      </c>
      <c r="AH65" t="s">
        <v>140</v>
      </c>
      <c r="AI65" s="7" t="s">
        <v>141</v>
      </c>
      <c r="AJ65" s="26">
        <v>46056</v>
      </c>
    </row>
    <row r="66" spans="1:36" ht="12.95" customHeight="1">
      <c r="A66" s="12" t="s">
        <v>137</v>
      </c>
      <c r="B66" s="12" t="s">
        <v>142</v>
      </c>
      <c r="C66">
        <v>64</v>
      </c>
      <c r="D66" t="s">
        <v>52</v>
      </c>
      <c r="E66" s="12" t="s">
        <v>321</v>
      </c>
      <c r="F66" s="12" t="s">
        <v>27</v>
      </c>
      <c r="G66" s="27" t="s">
        <v>431</v>
      </c>
      <c r="H66" s="27" t="s">
        <v>537</v>
      </c>
      <c r="I66" s="30" t="s">
        <v>224</v>
      </c>
      <c r="J66" s="16">
        <v>111111</v>
      </c>
      <c r="K66" t="s">
        <v>54</v>
      </c>
      <c r="N66" s="27" t="s">
        <v>679</v>
      </c>
      <c r="O66" s="27" t="s">
        <v>247</v>
      </c>
      <c r="P66" s="30" t="s">
        <v>749</v>
      </c>
      <c r="Q66" s="30" t="s">
        <v>146</v>
      </c>
      <c r="R66" s="12" t="s">
        <v>144</v>
      </c>
      <c r="S66" t="s">
        <v>55</v>
      </c>
      <c r="T66" t="s">
        <v>56</v>
      </c>
      <c r="U66" t="s">
        <v>57</v>
      </c>
      <c r="V66" t="s">
        <v>58</v>
      </c>
      <c r="W66" t="s">
        <v>59</v>
      </c>
      <c r="Y66" s="1">
        <v>45524</v>
      </c>
      <c r="Z66">
        <v>630900</v>
      </c>
      <c r="AA66" s="33">
        <v>4</v>
      </c>
      <c r="AB66" s="36">
        <v>40</v>
      </c>
      <c r="AC66" s="7" t="s">
        <v>143</v>
      </c>
      <c r="AD66" s="12" t="str">
        <f t="shared" si="0"/>
        <v>C08</v>
      </c>
      <c r="AE66" s="9" t="str">
        <f t="shared" si="1"/>
        <v>NU</v>
      </c>
      <c r="AF66" s="27" t="s">
        <v>153</v>
      </c>
      <c r="AG66" s="27">
        <v>1</v>
      </c>
      <c r="AH66" t="s">
        <v>140</v>
      </c>
      <c r="AI66" s="7" t="s">
        <v>141</v>
      </c>
      <c r="AJ66" s="26">
        <v>46056</v>
      </c>
    </row>
    <row r="67" spans="1:36" ht="12.95" customHeight="1">
      <c r="A67" s="12" t="s">
        <v>138</v>
      </c>
      <c r="B67" s="12" t="s">
        <v>142</v>
      </c>
      <c r="C67">
        <v>65</v>
      </c>
      <c r="D67" t="s">
        <v>52</v>
      </c>
      <c r="E67" s="12" t="s">
        <v>322</v>
      </c>
      <c r="F67" s="12" t="s">
        <v>27</v>
      </c>
      <c r="G67" s="27" t="s">
        <v>432</v>
      </c>
      <c r="H67" s="27" t="s">
        <v>538</v>
      </c>
      <c r="I67" s="30" t="s">
        <v>226</v>
      </c>
      <c r="J67" s="16">
        <v>111111</v>
      </c>
      <c r="K67" t="s">
        <v>54</v>
      </c>
      <c r="N67" s="27" t="s">
        <v>680</v>
      </c>
      <c r="O67" s="27" t="s">
        <v>247</v>
      </c>
      <c r="P67" s="30" t="s">
        <v>749</v>
      </c>
      <c r="Q67" s="30" t="s">
        <v>146</v>
      </c>
      <c r="R67" s="12" t="s">
        <v>144</v>
      </c>
      <c r="S67" t="s">
        <v>55</v>
      </c>
      <c r="T67" t="s">
        <v>56</v>
      </c>
      <c r="U67" t="s">
        <v>57</v>
      </c>
      <c r="V67" t="s">
        <v>58</v>
      </c>
      <c r="W67" t="s">
        <v>59</v>
      </c>
      <c r="Y67" s="1">
        <v>45524</v>
      </c>
      <c r="Z67">
        <v>630900</v>
      </c>
      <c r="AA67" s="33">
        <v>3</v>
      </c>
      <c r="AB67" s="36">
        <v>40</v>
      </c>
      <c r="AC67" s="7" t="s">
        <v>143</v>
      </c>
      <c r="AD67" s="12" t="str">
        <f t="shared" si="0"/>
        <v>C08</v>
      </c>
      <c r="AE67" s="9" t="str">
        <f t="shared" si="1"/>
        <v>NU</v>
      </c>
      <c r="AF67" s="27" t="s">
        <v>780</v>
      </c>
      <c r="AG67" s="27">
        <v>1</v>
      </c>
      <c r="AH67" t="s">
        <v>140</v>
      </c>
      <c r="AI67" s="7" t="s">
        <v>141</v>
      </c>
      <c r="AJ67" s="26">
        <v>46056</v>
      </c>
    </row>
    <row r="68" spans="1:36" ht="12.95" customHeight="1">
      <c r="A68" s="12" t="s">
        <v>139</v>
      </c>
      <c r="B68" s="12" t="s">
        <v>142</v>
      </c>
      <c r="C68">
        <v>66</v>
      </c>
      <c r="D68" t="s">
        <v>52</v>
      </c>
      <c r="E68" s="12" t="s">
        <v>323</v>
      </c>
      <c r="F68" s="12" t="s">
        <v>27</v>
      </c>
      <c r="G68" s="27" t="s">
        <v>433</v>
      </c>
      <c r="H68" s="27" t="s">
        <v>539</v>
      </c>
      <c r="I68" s="30" t="s">
        <v>606</v>
      </c>
      <c r="J68" s="16">
        <v>111111</v>
      </c>
      <c r="K68" t="s">
        <v>54</v>
      </c>
      <c r="N68" s="27" t="s">
        <v>681</v>
      </c>
      <c r="O68" s="27" t="s">
        <v>247</v>
      </c>
      <c r="P68" s="30" t="s">
        <v>749</v>
      </c>
      <c r="Q68" s="30" t="s">
        <v>146</v>
      </c>
      <c r="R68" s="12" t="s">
        <v>144</v>
      </c>
      <c r="S68" t="s">
        <v>55</v>
      </c>
      <c r="T68" t="s">
        <v>56</v>
      </c>
      <c r="U68" t="s">
        <v>57</v>
      </c>
      <c r="V68" t="s">
        <v>58</v>
      </c>
      <c r="W68" t="s">
        <v>59</v>
      </c>
      <c r="Y68" s="1">
        <v>45524</v>
      </c>
      <c r="Z68">
        <v>630900</v>
      </c>
      <c r="AA68" s="33">
        <v>20</v>
      </c>
      <c r="AB68" s="36">
        <v>60</v>
      </c>
      <c r="AC68" s="7" t="s">
        <v>143</v>
      </c>
      <c r="AD68" s="12" t="str">
        <f t="shared" ref="AD68:AD116" si="2">IF(AB68&lt;46,"C08","C07")</f>
        <v>C07</v>
      </c>
      <c r="AE68" s="9" t="str">
        <f t="shared" ref="AE68:AE116" si="3">IF(AD68="C08","NU","DA")</f>
        <v>DA</v>
      </c>
      <c r="AF68" s="27" t="s">
        <v>804</v>
      </c>
      <c r="AG68" s="27">
        <v>1</v>
      </c>
      <c r="AH68" t="s">
        <v>140</v>
      </c>
      <c r="AI68" s="7" t="s">
        <v>141</v>
      </c>
      <c r="AJ68" s="26">
        <v>46056</v>
      </c>
    </row>
    <row r="69" spans="1:36" ht="12.95" customHeight="1">
      <c r="A69" s="12" t="s">
        <v>137</v>
      </c>
      <c r="B69" s="12" t="s">
        <v>142</v>
      </c>
      <c r="C69">
        <v>67</v>
      </c>
      <c r="D69" t="s">
        <v>52</v>
      </c>
      <c r="E69" s="12" t="s">
        <v>324</v>
      </c>
      <c r="F69" s="12" t="s">
        <v>27</v>
      </c>
      <c r="G69" s="27" t="s">
        <v>434</v>
      </c>
      <c r="H69" s="27" t="s">
        <v>540</v>
      </c>
      <c r="I69" s="30" t="s">
        <v>219</v>
      </c>
      <c r="J69" s="16">
        <v>111111</v>
      </c>
      <c r="K69" t="s">
        <v>54</v>
      </c>
      <c r="N69" s="27" t="s">
        <v>245</v>
      </c>
      <c r="O69" s="27" t="s">
        <v>247</v>
      </c>
      <c r="P69" s="30" t="s">
        <v>749</v>
      </c>
      <c r="Q69" s="30" t="s">
        <v>146</v>
      </c>
      <c r="R69" s="12" t="s">
        <v>144</v>
      </c>
      <c r="S69" t="s">
        <v>55</v>
      </c>
      <c r="T69" t="s">
        <v>56</v>
      </c>
      <c r="U69" t="s">
        <v>57</v>
      </c>
      <c r="V69" t="s">
        <v>58</v>
      </c>
      <c r="W69" t="s">
        <v>59</v>
      </c>
      <c r="Y69" s="1">
        <v>45524</v>
      </c>
      <c r="Z69">
        <v>630900</v>
      </c>
      <c r="AA69" s="33">
        <v>8</v>
      </c>
      <c r="AB69" s="36">
        <v>40</v>
      </c>
      <c r="AC69" s="7" t="s">
        <v>143</v>
      </c>
      <c r="AD69" s="12" t="str">
        <f t="shared" si="2"/>
        <v>C08</v>
      </c>
      <c r="AE69" s="9" t="str">
        <f t="shared" si="3"/>
        <v>NU</v>
      </c>
      <c r="AF69" s="27" t="s">
        <v>805</v>
      </c>
      <c r="AG69" s="27">
        <v>1</v>
      </c>
      <c r="AH69" t="s">
        <v>140</v>
      </c>
      <c r="AI69" s="7" t="s">
        <v>141</v>
      </c>
      <c r="AJ69" s="26">
        <v>46056</v>
      </c>
    </row>
    <row r="70" spans="1:36" ht="12.95" customHeight="1">
      <c r="A70" s="12" t="s">
        <v>89</v>
      </c>
      <c r="B70" s="12" t="s">
        <v>142</v>
      </c>
      <c r="C70">
        <v>68</v>
      </c>
      <c r="D70" t="s">
        <v>52</v>
      </c>
      <c r="E70" s="12" t="s">
        <v>325</v>
      </c>
      <c r="F70" s="12" t="s">
        <v>27</v>
      </c>
      <c r="G70" s="27" t="s">
        <v>435</v>
      </c>
      <c r="H70" s="27" t="s">
        <v>541</v>
      </c>
      <c r="I70" s="30" t="s">
        <v>607</v>
      </c>
      <c r="J70" s="16">
        <v>111111</v>
      </c>
      <c r="K70" t="s">
        <v>54</v>
      </c>
      <c r="N70" s="27" t="s">
        <v>682</v>
      </c>
      <c r="O70" s="27" t="s">
        <v>247</v>
      </c>
      <c r="P70" s="30" t="s">
        <v>749</v>
      </c>
      <c r="Q70" s="30" t="s">
        <v>146</v>
      </c>
      <c r="R70" s="12" t="s">
        <v>144</v>
      </c>
      <c r="S70" t="s">
        <v>55</v>
      </c>
      <c r="T70" t="s">
        <v>56</v>
      </c>
      <c r="U70" t="s">
        <v>57</v>
      </c>
      <c r="V70" t="s">
        <v>58</v>
      </c>
      <c r="W70" t="s">
        <v>59</v>
      </c>
      <c r="Y70" s="1">
        <v>45524</v>
      </c>
      <c r="Z70">
        <v>630900</v>
      </c>
      <c r="AA70" s="33">
        <v>9</v>
      </c>
      <c r="AB70" s="36">
        <v>40</v>
      </c>
      <c r="AC70" s="7" t="s">
        <v>143</v>
      </c>
      <c r="AD70" s="12" t="str">
        <f t="shared" si="2"/>
        <v>C08</v>
      </c>
      <c r="AE70" s="9" t="str">
        <f t="shared" si="3"/>
        <v>NU</v>
      </c>
      <c r="AF70" s="27" t="s">
        <v>147</v>
      </c>
      <c r="AG70" s="27">
        <v>1</v>
      </c>
      <c r="AH70" t="s">
        <v>140</v>
      </c>
      <c r="AI70" s="7" t="s">
        <v>141</v>
      </c>
      <c r="AJ70" s="26">
        <v>46056</v>
      </c>
    </row>
    <row r="71" spans="1:36" ht="12.95" customHeight="1">
      <c r="A71" s="12" t="s">
        <v>149</v>
      </c>
      <c r="B71" s="12" t="s">
        <v>142</v>
      </c>
      <c r="C71">
        <v>69</v>
      </c>
      <c r="D71" t="s">
        <v>52</v>
      </c>
      <c r="E71" s="12" t="s">
        <v>326</v>
      </c>
      <c r="F71" s="12" t="s">
        <v>27</v>
      </c>
      <c r="G71" s="27" t="s">
        <v>436</v>
      </c>
      <c r="H71" s="27" t="s">
        <v>542</v>
      </c>
      <c r="I71" s="30" t="s">
        <v>608</v>
      </c>
      <c r="J71" s="16">
        <v>111111</v>
      </c>
      <c r="K71" t="s">
        <v>54</v>
      </c>
      <c r="N71" s="27" t="s">
        <v>683</v>
      </c>
      <c r="O71" s="27" t="s">
        <v>247</v>
      </c>
      <c r="P71" s="30" t="s">
        <v>749</v>
      </c>
      <c r="Q71" s="30" t="s">
        <v>146</v>
      </c>
      <c r="R71" s="12" t="s">
        <v>144</v>
      </c>
      <c r="S71" t="s">
        <v>55</v>
      </c>
      <c r="T71" t="s">
        <v>56</v>
      </c>
      <c r="U71" t="s">
        <v>57</v>
      </c>
      <c r="V71" t="s">
        <v>58</v>
      </c>
      <c r="W71" t="s">
        <v>59</v>
      </c>
      <c r="Y71" s="1">
        <v>45524</v>
      </c>
      <c r="Z71">
        <v>630900</v>
      </c>
      <c r="AA71" s="33">
        <v>1</v>
      </c>
      <c r="AB71" s="36">
        <v>40</v>
      </c>
      <c r="AC71" s="7" t="s">
        <v>143</v>
      </c>
      <c r="AD71" s="12" t="str">
        <f t="shared" si="2"/>
        <v>C08</v>
      </c>
      <c r="AE71" s="9" t="str">
        <f t="shared" si="3"/>
        <v>NU</v>
      </c>
      <c r="AF71" s="27" t="s">
        <v>201</v>
      </c>
      <c r="AG71" s="27">
        <v>1</v>
      </c>
      <c r="AH71" t="s">
        <v>140</v>
      </c>
      <c r="AI71" s="7" t="s">
        <v>141</v>
      </c>
      <c r="AJ71" s="26">
        <v>46056</v>
      </c>
    </row>
    <row r="72" spans="1:36" ht="12.95" customHeight="1">
      <c r="A72" s="12" t="s">
        <v>150</v>
      </c>
      <c r="B72" s="12" t="s">
        <v>142</v>
      </c>
      <c r="C72">
        <v>70</v>
      </c>
      <c r="D72" t="s">
        <v>52</v>
      </c>
      <c r="E72" s="12" t="s">
        <v>327</v>
      </c>
      <c r="F72" s="12" t="s">
        <v>27</v>
      </c>
      <c r="G72" s="27" t="s">
        <v>437</v>
      </c>
      <c r="H72" s="27" t="s">
        <v>543</v>
      </c>
      <c r="I72" s="30" t="s">
        <v>609</v>
      </c>
      <c r="J72" s="16">
        <v>111111</v>
      </c>
      <c r="K72" t="s">
        <v>54</v>
      </c>
      <c r="N72" s="27" t="s">
        <v>684</v>
      </c>
      <c r="O72" s="27" t="s">
        <v>247</v>
      </c>
      <c r="P72" s="30" t="s">
        <v>749</v>
      </c>
      <c r="Q72" s="30" t="s">
        <v>146</v>
      </c>
      <c r="R72" s="12" t="s">
        <v>144</v>
      </c>
      <c r="S72" t="s">
        <v>55</v>
      </c>
      <c r="T72" t="s">
        <v>56</v>
      </c>
      <c r="U72" t="s">
        <v>57</v>
      </c>
      <c r="V72" t="s">
        <v>58</v>
      </c>
      <c r="W72" t="s">
        <v>59</v>
      </c>
      <c r="Y72" s="1">
        <v>45524</v>
      </c>
      <c r="Z72">
        <v>630900</v>
      </c>
      <c r="AA72" s="33">
        <v>6</v>
      </c>
      <c r="AB72" s="36">
        <v>40</v>
      </c>
      <c r="AC72" s="7" t="s">
        <v>143</v>
      </c>
      <c r="AD72" s="12" t="str">
        <f t="shared" si="2"/>
        <v>C08</v>
      </c>
      <c r="AE72" s="9" t="str">
        <f t="shared" si="3"/>
        <v>NU</v>
      </c>
      <c r="AF72" s="27" t="s">
        <v>806</v>
      </c>
      <c r="AG72" s="27">
        <v>1</v>
      </c>
      <c r="AH72" t="s">
        <v>140</v>
      </c>
      <c r="AI72" s="7" t="s">
        <v>141</v>
      </c>
      <c r="AJ72" s="26">
        <v>46056</v>
      </c>
    </row>
    <row r="73" spans="1:36" ht="12.95" customHeight="1">
      <c r="A73" s="12" t="s">
        <v>151</v>
      </c>
      <c r="B73" s="12" t="s">
        <v>142</v>
      </c>
      <c r="C73">
        <v>71</v>
      </c>
      <c r="D73" t="s">
        <v>52</v>
      </c>
      <c r="E73" s="12" t="s">
        <v>328</v>
      </c>
      <c r="F73" s="12" t="s">
        <v>27</v>
      </c>
      <c r="G73" s="27" t="s">
        <v>206</v>
      </c>
      <c r="H73" s="27" t="s">
        <v>544</v>
      </c>
      <c r="I73" s="30" t="s">
        <v>236</v>
      </c>
      <c r="J73" s="16">
        <v>111111</v>
      </c>
      <c r="K73" t="s">
        <v>54</v>
      </c>
      <c r="N73" s="27" t="s">
        <v>243</v>
      </c>
      <c r="O73" s="27" t="s">
        <v>247</v>
      </c>
      <c r="P73" s="30" t="s">
        <v>749</v>
      </c>
      <c r="Q73" s="30" t="s">
        <v>146</v>
      </c>
      <c r="R73" s="12" t="s">
        <v>144</v>
      </c>
      <c r="S73" t="s">
        <v>55</v>
      </c>
      <c r="T73" t="s">
        <v>56</v>
      </c>
      <c r="U73" t="s">
        <v>57</v>
      </c>
      <c r="V73" t="s">
        <v>58</v>
      </c>
      <c r="W73" t="s">
        <v>59</v>
      </c>
      <c r="Y73" s="1">
        <v>45524</v>
      </c>
      <c r="Z73">
        <v>630900</v>
      </c>
      <c r="AA73" s="33">
        <v>13</v>
      </c>
      <c r="AB73" s="36">
        <v>40</v>
      </c>
      <c r="AC73" s="7" t="s">
        <v>143</v>
      </c>
      <c r="AD73" s="12" t="str">
        <f t="shared" si="2"/>
        <v>C08</v>
      </c>
      <c r="AE73" s="9" t="str">
        <f t="shared" si="3"/>
        <v>NU</v>
      </c>
      <c r="AF73" s="27" t="s">
        <v>174</v>
      </c>
      <c r="AG73" s="27">
        <v>1</v>
      </c>
      <c r="AH73" t="s">
        <v>140</v>
      </c>
      <c r="AI73" s="7" t="s">
        <v>141</v>
      </c>
      <c r="AJ73" s="26">
        <v>46056</v>
      </c>
    </row>
    <row r="74" spans="1:36" ht="12.95" customHeight="1">
      <c r="A74" s="12" t="s">
        <v>82</v>
      </c>
      <c r="B74" s="12" t="s">
        <v>142</v>
      </c>
      <c r="C74">
        <v>72</v>
      </c>
      <c r="D74" t="s">
        <v>52</v>
      </c>
      <c r="E74" s="12" t="s">
        <v>329</v>
      </c>
      <c r="F74" s="12" t="s">
        <v>27</v>
      </c>
      <c r="G74" s="27" t="s">
        <v>438</v>
      </c>
      <c r="H74" s="27" t="s">
        <v>545</v>
      </c>
      <c r="I74" s="30" t="s">
        <v>610</v>
      </c>
      <c r="J74" s="16">
        <v>111111</v>
      </c>
      <c r="K74" t="s">
        <v>54</v>
      </c>
      <c r="N74" s="27" t="s">
        <v>685</v>
      </c>
      <c r="O74" s="27" t="s">
        <v>247</v>
      </c>
      <c r="P74" s="30" t="s">
        <v>749</v>
      </c>
      <c r="Q74" s="30" t="s">
        <v>146</v>
      </c>
      <c r="R74" s="12" t="s">
        <v>144</v>
      </c>
      <c r="S74" t="s">
        <v>55</v>
      </c>
      <c r="T74" t="s">
        <v>56</v>
      </c>
      <c r="U74" t="s">
        <v>57</v>
      </c>
      <c r="V74" t="s">
        <v>58</v>
      </c>
      <c r="W74" t="s">
        <v>59</v>
      </c>
      <c r="Y74" s="1">
        <v>45524</v>
      </c>
      <c r="Z74">
        <v>630900</v>
      </c>
      <c r="AA74" s="33">
        <v>11</v>
      </c>
      <c r="AB74" s="36">
        <v>40</v>
      </c>
      <c r="AC74" s="7" t="s">
        <v>143</v>
      </c>
      <c r="AD74" s="12" t="str">
        <f t="shared" si="2"/>
        <v>C08</v>
      </c>
      <c r="AE74" s="9" t="str">
        <f t="shared" si="3"/>
        <v>NU</v>
      </c>
      <c r="AF74" s="27" t="s">
        <v>153</v>
      </c>
      <c r="AG74" s="27">
        <v>1</v>
      </c>
      <c r="AH74" t="s">
        <v>140</v>
      </c>
      <c r="AI74" s="7" t="s">
        <v>141</v>
      </c>
      <c r="AJ74" s="26">
        <v>46056</v>
      </c>
    </row>
    <row r="75" spans="1:36" ht="12.95" customHeight="1">
      <c r="A75" s="12" t="s">
        <v>152</v>
      </c>
      <c r="B75" s="12" t="s">
        <v>142</v>
      </c>
      <c r="C75">
        <v>73</v>
      </c>
      <c r="D75" t="s">
        <v>52</v>
      </c>
      <c r="E75" s="12" t="s">
        <v>330</v>
      </c>
      <c r="F75" s="12" t="s">
        <v>27</v>
      </c>
      <c r="G75" s="27" t="s">
        <v>439</v>
      </c>
      <c r="H75" s="27" t="s">
        <v>546</v>
      </c>
      <c r="I75" s="30" t="s">
        <v>611</v>
      </c>
      <c r="J75" s="16">
        <v>111111</v>
      </c>
      <c r="K75" t="s">
        <v>54</v>
      </c>
      <c r="N75" s="27" t="s">
        <v>686</v>
      </c>
      <c r="O75" s="27" t="s">
        <v>247</v>
      </c>
      <c r="P75" s="30" t="s">
        <v>749</v>
      </c>
      <c r="Q75" s="30" t="s">
        <v>146</v>
      </c>
      <c r="R75" s="12" t="s">
        <v>144</v>
      </c>
      <c r="S75" t="s">
        <v>55</v>
      </c>
      <c r="T75" t="s">
        <v>56</v>
      </c>
      <c r="U75" t="s">
        <v>57</v>
      </c>
      <c r="V75" t="s">
        <v>58</v>
      </c>
      <c r="W75" t="s">
        <v>59</v>
      </c>
      <c r="Y75" s="1">
        <v>45524</v>
      </c>
      <c r="Z75">
        <v>630900</v>
      </c>
      <c r="AA75" s="33">
        <v>5</v>
      </c>
      <c r="AB75" s="36">
        <v>150</v>
      </c>
      <c r="AC75" s="7" t="s">
        <v>143</v>
      </c>
      <c r="AD75" s="12" t="str">
        <f t="shared" si="2"/>
        <v>C07</v>
      </c>
      <c r="AE75" s="9" t="str">
        <f t="shared" si="3"/>
        <v>DA</v>
      </c>
      <c r="AF75" s="27" t="s">
        <v>807</v>
      </c>
      <c r="AG75" s="27">
        <v>1</v>
      </c>
      <c r="AH75" t="s">
        <v>140</v>
      </c>
      <c r="AI75" s="7" t="s">
        <v>141</v>
      </c>
      <c r="AJ75" s="26">
        <v>46056</v>
      </c>
    </row>
    <row r="76" spans="1:36" ht="12.95" customHeight="1">
      <c r="A76" s="12" t="s">
        <v>76</v>
      </c>
      <c r="B76" s="12" t="s">
        <v>142</v>
      </c>
      <c r="C76">
        <v>74</v>
      </c>
      <c r="D76" t="s">
        <v>52</v>
      </c>
      <c r="E76" s="12" t="s">
        <v>331</v>
      </c>
      <c r="F76" s="12" t="s">
        <v>27</v>
      </c>
      <c r="G76" s="27" t="s">
        <v>440</v>
      </c>
      <c r="H76" s="27" t="s">
        <v>547</v>
      </c>
      <c r="I76" s="30" t="s">
        <v>216</v>
      </c>
      <c r="J76" s="16">
        <v>111111</v>
      </c>
      <c r="K76" t="s">
        <v>54</v>
      </c>
      <c r="N76" s="27" t="s">
        <v>687</v>
      </c>
      <c r="O76" s="27" t="s">
        <v>740</v>
      </c>
      <c r="P76" s="30" t="s">
        <v>749</v>
      </c>
      <c r="Q76" s="30" t="s">
        <v>145</v>
      </c>
      <c r="R76" s="12" t="s">
        <v>144</v>
      </c>
      <c r="S76" t="s">
        <v>55</v>
      </c>
      <c r="T76" t="s">
        <v>56</v>
      </c>
      <c r="U76" t="s">
        <v>57</v>
      </c>
      <c r="V76" t="s">
        <v>58</v>
      </c>
      <c r="W76" t="s">
        <v>59</v>
      </c>
      <c r="Y76" s="1">
        <v>45524</v>
      </c>
      <c r="Z76">
        <v>630900</v>
      </c>
      <c r="AA76" s="33">
        <v>1</v>
      </c>
      <c r="AB76" s="36">
        <v>40</v>
      </c>
      <c r="AC76" s="7" t="s">
        <v>143</v>
      </c>
      <c r="AD76" s="12" t="str">
        <f t="shared" si="2"/>
        <v>C08</v>
      </c>
      <c r="AE76" s="9" t="str">
        <f t="shared" si="3"/>
        <v>NU</v>
      </c>
      <c r="AF76" s="27" t="s">
        <v>148</v>
      </c>
      <c r="AG76" s="27">
        <v>1</v>
      </c>
      <c r="AH76" t="s">
        <v>140</v>
      </c>
      <c r="AI76" s="7" t="s">
        <v>141</v>
      </c>
      <c r="AJ76" s="26">
        <v>46056</v>
      </c>
    </row>
    <row r="77" spans="1:36" ht="12.95" customHeight="1">
      <c r="A77" s="12" t="s">
        <v>114</v>
      </c>
      <c r="B77" s="12" t="s">
        <v>142</v>
      </c>
      <c r="C77">
        <v>75</v>
      </c>
      <c r="D77" t="s">
        <v>52</v>
      </c>
      <c r="E77" s="12" t="s">
        <v>332</v>
      </c>
      <c r="F77" s="12" t="s">
        <v>27</v>
      </c>
      <c r="G77" s="27" t="s">
        <v>441</v>
      </c>
      <c r="H77" s="27" t="s">
        <v>548</v>
      </c>
      <c r="I77" s="30" t="s">
        <v>602</v>
      </c>
      <c r="J77" s="16">
        <v>111111</v>
      </c>
      <c r="K77" t="s">
        <v>54</v>
      </c>
      <c r="N77" s="27" t="s">
        <v>688</v>
      </c>
      <c r="O77" s="27" t="s">
        <v>247</v>
      </c>
      <c r="P77" s="30" t="s">
        <v>749</v>
      </c>
      <c r="Q77" s="30" t="s">
        <v>146</v>
      </c>
      <c r="R77" s="12" t="s">
        <v>144</v>
      </c>
      <c r="S77" t="s">
        <v>55</v>
      </c>
      <c r="T77" t="s">
        <v>56</v>
      </c>
      <c r="U77" t="s">
        <v>57</v>
      </c>
      <c r="V77" t="s">
        <v>58</v>
      </c>
      <c r="W77" t="s">
        <v>59</v>
      </c>
      <c r="Y77" s="1">
        <v>45524</v>
      </c>
      <c r="Z77">
        <v>630900</v>
      </c>
      <c r="AA77" s="33">
        <v>16</v>
      </c>
      <c r="AB77" s="36">
        <v>40</v>
      </c>
      <c r="AC77" s="7" t="s">
        <v>143</v>
      </c>
      <c r="AD77" s="12" t="str">
        <f t="shared" si="2"/>
        <v>C08</v>
      </c>
      <c r="AE77" s="9" t="str">
        <f t="shared" si="3"/>
        <v>NU</v>
      </c>
      <c r="AF77" s="27" t="s">
        <v>808</v>
      </c>
      <c r="AG77" s="27">
        <v>2</v>
      </c>
      <c r="AH77" t="s">
        <v>140</v>
      </c>
      <c r="AI77" s="7" t="s">
        <v>141</v>
      </c>
      <c r="AJ77" s="26">
        <v>46056</v>
      </c>
    </row>
    <row r="78" spans="1:36" ht="12.95" customHeight="1">
      <c r="A78" s="12" t="s">
        <v>80</v>
      </c>
      <c r="B78" s="12" t="s">
        <v>142</v>
      </c>
      <c r="C78">
        <v>76</v>
      </c>
      <c r="D78" t="s">
        <v>52</v>
      </c>
      <c r="E78" s="12" t="s">
        <v>333</v>
      </c>
      <c r="F78" s="12" t="s">
        <v>27</v>
      </c>
      <c r="G78" s="27" t="s">
        <v>442</v>
      </c>
      <c r="H78" s="27" t="s">
        <v>549</v>
      </c>
      <c r="I78" s="30" t="s">
        <v>612</v>
      </c>
      <c r="J78" s="16">
        <v>111111</v>
      </c>
      <c r="K78" t="s">
        <v>54</v>
      </c>
      <c r="N78" s="27" t="s">
        <v>689</v>
      </c>
      <c r="O78" s="27" t="s">
        <v>247</v>
      </c>
      <c r="P78" s="30" t="s">
        <v>749</v>
      </c>
      <c r="Q78" s="30" t="s">
        <v>146</v>
      </c>
      <c r="R78" s="12" t="s">
        <v>144</v>
      </c>
      <c r="S78" t="s">
        <v>55</v>
      </c>
      <c r="T78" t="s">
        <v>56</v>
      </c>
      <c r="U78" t="s">
        <v>57</v>
      </c>
      <c r="V78" t="s">
        <v>58</v>
      </c>
      <c r="W78" t="s">
        <v>59</v>
      </c>
      <c r="Y78" s="1">
        <v>45524</v>
      </c>
      <c r="Z78">
        <v>630900</v>
      </c>
      <c r="AA78" s="33">
        <v>9</v>
      </c>
      <c r="AB78" s="36">
        <v>40</v>
      </c>
      <c r="AC78" s="7" t="s">
        <v>143</v>
      </c>
      <c r="AD78" s="12" t="str">
        <f t="shared" si="2"/>
        <v>C08</v>
      </c>
      <c r="AE78" s="9" t="str">
        <f t="shared" si="3"/>
        <v>NU</v>
      </c>
      <c r="AF78" s="27" t="s">
        <v>176</v>
      </c>
      <c r="AG78" s="27">
        <v>2</v>
      </c>
      <c r="AH78" t="s">
        <v>140</v>
      </c>
      <c r="AI78" s="7" t="s">
        <v>141</v>
      </c>
      <c r="AJ78" s="26">
        <v>46056</v>
      </c>
    </row>
    <row r="79" spans="1:36" ht="12.95" customHeight="1">
      <c r="A79" s="12" t="s">
        <v>154</v>
      </c>
      <c r="B79" s="12" t="s">
        <v>142</v>
      </c>
      <c r="C79">
        <v>77</v>
      </c>
      <c r="D79" t="s">
        <v>52</v>
      </c>
      <c r="E79" s="12" t="s">
        <v>334</v>
      </c>
      <c r="F79" s="12" t="s">
        <v>27</v>
      </c>
      <c r="G79" s="27" t="s">
        <v>443</v>
      </c>
      <c r="H79" s="27" t="s">
        <v>550</v>
      </c>
      <c r="I79" s="30" t="s">
        <v>613</v>
      </c>
      <c r="J79" s="16">
        <v>111111</v>
      </c>
      <c r="K79" t="s">
        <v>54</v>
      </c>
      <c r="N79" s="27" t="s">
        <v>690</v>
      </c>
      <c r="O79" s="27" t="s">
        <v>247</v>
      </c>
      <c r="P79" s="30" t="s">
        <v>749</v>
      </c>
      <c r="Q79" s="30" t="s">
        <v>146</v>
      </c>
      <c r="R79" s="12" t="s">
        <v>144</v>
      </c>
      <c r="S79" t="s">
        <v>55</v>
      </c>
      <c r="T79" t="s">
        <v>56</v>
      </c>
      <c r="U79" t="s">
        <v>57</v>
      </c>
      <c r="V79" t="s">
        <v>58</v>
      </c>
      <c r="W79" t="s">
        <v>59</v>
      </c>
      <c r="Y79" s="1">
        <v>45524</v>
      </c>
      <c r="Z79">
        <v>630900</v>
      </c>
      <c r="AA79" s="33">
        <v>4</v>
      </c>
      <c r="AB79" s="36">
        <v>40</v>
      </c>
      <c r="AC79" s="7" t="s">
        <v>143</v>
      </c>
      <c r="AD79" s="12" t="str">
        <f t="shared" si="2"/>
        <v>C08</v>
      </c>
      <c r="AE79" s="9" t="str">
        <f t="shared" si="3"/>
        <v>NU</v>
      </c>
      <c r="AF79" s="27" t="s">
        <v>175</v>
      </c>
      <c r="AG79" s="27">
        <v>1</v>
      </c>
      <c r="AH79" t="s">
        <v>140</v>
      </c>
      <c r="AI79" s="7" t="s">
        <v>141</v>
      </c>
      <c r="AJ79" s="26">
        <v>46056</v>
      </c>
    </row>
    <row r="80" spans="1:36" ht="12.95" customHeight="1">
      <c r="A80" s="12" t="s">
        <v>135</v>
      </c>
      <c r="B80" s="12" t="s">
        <v>142</v>
      </c>
      <c r="C80">
        <v>78</v>
      </c>
      <c r="D80" t="s">
        <v>52</v>
      </c>
      <c r="E80" s="12" t="s">
        <v>335</v>
      </c>
      <c r="F80" s="12" t="s">
        <v>27</v>
      </c>
      <c r="G80" s="27" t="s">
        <v>444</v>
      </c>
      <c r="H80" s="27" t="s">
        <v>551</v>
      </c>
      <c r="I80" s="30" t="s">
        <v>219</v>
      </c>
      <c r="J80" s="16">
        <v>111111</v>
      </c>
      <c r="K80" t="s">
        <v>54</v>
      </c>
      <c r="N80" s="27" t="s">
        <v>691</v>
      </c>
      <c r="O80" s="27" t="s">
        <v>247</v>
      </c>
      <c r="P80" s="30" t="s">
        <v>749</v>
      </c>
      <c r="Q80" s="30" t="s">
        <v>146</v>
      </c>
      <c r="R80" s="12" t="s">
        <v>144</v>
      </c>
      <c r="S80" t="s">
        <v>55</v>
      </c>
      <c r="T80" t="s">
        <v>56</v>
      </c>
      <c r="U80" t="s">
        <v>57</v>
      </c>
      <c r="V80" t="s">
        <v>58</v>
      </c>
      <c r="W80" t="s">
        <v>59</v>
      </c>
      <c r="Y80" s="1">
        <v>45524</v>
      </c>
      <c r="Z80">
        <v>630900</v>
      </c>
      <c r="AA80" s="33">
        <v>21</v>
      </c>
      <c r="AB80" s="36">
        <v>40</v>
      </c>
      <c r="AC80" s="7" t="s">
        <v>143</v>
      </c>
      <c r="AD80" s="12" t="str">
        <f t="shared" si="2"/>
        <v>C08</v>
      </c>
      <c r="AE80" s="9" t="str">
        <f t="shared" si="3"/>
        <v>NU</v>
      </c>
      <c r="AF80" s="27" t="s">
        <v>809</v>
      </c>
      <c r="AG80" s="27">
        <v>2</v>
      </c>
      <c r="AH80" t="s">
        <v>140</v>
      </c>
      <c r="AI80" s="7" t="s">
        <v>141</v>
      </c>
      <c r="AJ80" s="26">
        <v>46056</v>
      </c>
    </row>
    <row r="81" spans="1:36" ht="12.95" customHeight="1">
      <c r="A81" s="12" t="s">
        <v>155</v>
      </c>
      <c r="B81" s="12" t="s">
        <v>142</v>
      </c>
      <c r="C81">
        <v>79</v>
      </c>
      <c r="D81" t="s">
        <v>52</v>
      </c>
      <c r="E81" s="12" t="s">
        <v>336</v>
      </c>
      <c r="F81" s="12" t="s">
        <v>27</v>
      </c>
      <c r="G81" s="27" t="s">
        <v>445</v>
      </c>
      <c r="H81" s="27" t="s">
        <v>552</v>
      </c>
      <c r="I81" s="30" t="s">
        <v>215</v>
      </c>
      <c r="J81" s="16">
        <v>111111</v>
      </c>
      <c r="K81" t="s">
        <v>54</v>
      </c>
      <c r="N81" s="27" t="s">
        <v>692</v>
      </c>
      <c r="O81" s="27" t="s">
        <v>741</v>
      </c>
      <c r="P81" s="30" t="s">
        <v>755</v>
      </c>
      <c r="Q81" s="30" t="s">
        <v>772</v>
      </c>
      <c r="R81" s="12" t="s">
        <v>144</v>
      </c>
      <c r="S81" t="s">
        <v>55</v>
      </c>
      <c r="T81" t="s">
        <v>56</v>
      </c>
      <c r="U81" t="s">
        <v>57</v>
      </c>
      <c r="V81" t="s">
        <v>58</v>
      </c>
      <c r="W81" t="s">
        <v>59</v>
      </c>
      <c r="Y81" s="1">
        <v>45524</v>
      </c>
      <c r="Z81">
        <v>630900</v>
      </c>
      <c r="AA81" s="33">
        <v>9</v>
      </c>
      <c r="AB81" s="36">
        <v>40</v>
      </c>
      <c r="AC81" s="7" t="s">
        <v>143</v>
      </c>
      <c r="AD81" s="12" t="str">
        <f t="shared" si="2"/>
        <v>C08</v>
      </c>
      <c r="AE81" s="9" t="str">
        <f t="shared" si="3"/>
        <v>NU</v>
      </c>
      <c r="AF81" s="27" t="s">
        <v>153</v>
      </c>
      <c r="AG81" s="27">
        <v>1</v>
      </c>
      <c r="AH81" t="s">
        <v>140</v>
      </c>
      <c r="AI81" s="7" t="s">
        <v>141</v>
      </c>
      <c r="AJ81" s="26">
        <v>46056</v>
      </c>
    </row>
    <row r="82" spans="1:36" ht="12.95" customHeight="1">
      <c r="A82" s="12" t="s">
        <v>156</v>
      </c>
      <c r="B82" s="12" t="s">
        <v>142</v>
      </c>
      <c r="C82">
        <v>80</v>
      </c>
      <c r="D82" t="s">
        <v>52</v>
      </c>
      <c r="E82" s="12" t="s">
        <v>337</v>
      </c>
      <c r="F82" s="12" t="s">
        <v>27</v>
      </c>
      <c r="G82" s="27" t="s">
        <v>238</v>
      </c>
      <c r="H82" s="27" t="s">
        <v>553</v>
      </c>
      <c r="I82" s="30" t="s">
        <v>252</v>
      </c>
      <c r="J82" s="16">
        <v>111111</v>
      </c>
      <c r="K82" t="s">
        <v>54</v>
      </c>
      <c r="N82" s="27" t="s">
        <v>238</v>
      </c>
      <c r="O82" s="27" t="s">
        <v>247</v>
      </c>
      <c r="P82" s="30" t="s">
        <v>749</v>
      </c>
      <c r="Q82" s="30" t="s">
        <v>146</v>
      </c>
      <c r="R82" s="12" t="s">
        <v>144</v>
      </c>
      <c r="S82" t="s">
        <v>55</v>
      </c>
      <c r="T82" t="s">
        <v>56</v>
      </c>
      <c r="U82" t="s">
        <v>57</v>
      </c>
      <c r="V82" t="s">
        <v>58</v>
      </c>
      <c r="W82" t="s">
        <v>59</v>
      </c>
      <c r="Y82" s="1">
        <v>45524</v>
      </c>
      <c r="Z82">
        <v>630900</v>
      </c>
      <c r="AA82" s="33">
        <v>3</v>
      </c>
      <c r="AB82" s="36">
        <v>40</v>
      </c>
      <c r="AC82" s="7" t="s">
        <v>143</v>
      </c>
      <c r="AD82" s="12" t="str">
        <f t="shared" si="2"/>
        <v>C08</v>
      </c>
      <c r="AE82" s="9" t="str">
        <f t="shared" si="3"/>
        <v>NU</v>
      </c>
      <c r="AF82" s="27" t="s">
        <v>148</v>
      </c>
      <c r="AG82" s="27">
        <v>1</v>
      </c>
      <c r="AH82" t="s">
        <v>140</v>
      </c>
      <c r="AI82" s="7" t="s">
        <v>141</v>
      </c>
      <c r="AJ82" s="26">
        <v>46056</v>
      </c>
    </row>
    <row r="83" spans="1:36" ht="12.95" customHeight="1">
      <c r="A83" s="12" t="s">
        <v>157</v>
      </c>
      <c r="B83" s="12" t="s">
        <v>142</v>
      </c>
      <c r="C83">
        <v>81</v>
      </c>
      <c r="D83" t="s">
        <v>52</v>
      </c>
      <c r="E83" s="12" t="s">
        <v>338</v>
      </c>
      <c r="F83" s="12" t="s">
        <v>27</v>
      </c>
      <c r="G83" s="27" t="s">
        <v>446</v>
      </c>
      <c r="H83" s="27" t="s">
        <v>554</v>
      </c>
      <c r="I83" s="30" t="s">
        <v>614</v>
      </c>
      <c r="J83" s="16">
        <v>111111</v>
      </c>
      <c r="K83" t="s">
        <v>54</v>
      </c>
      <c r="N83" s="27" t="s">
        <v>693</v>
      </c>
      <c r="O83" s="27" t="s">
        <v>247</v>
      </c>
      <c r="P83" s="30" t="s">
        <v>749</v>
      </c>
      <c r="Q83" s="30" t="s">
        <v>146</v>
      </c>
      <c r="R83" s="12" t="s">
        <v>144</v>
      </c>
      <c r="S83" t="s">
        <v>55</v>
      </c>
      <c r="T83" t="s">
        <v>56</v>
      </c>
      <c r="U83" t="s">
        <v>57</v>
      </c>
      <c r="V83" t="s">
        <v>58</v>
      </c>
      <c r="W83" t="s">
        <v>59</v>
      </c>
      <c r="Y83" s="1">
        <v>45524</v>
      </c>
      <c r="Z83">
        <v>630900</v>
      </c>
      <c r="AA83" s="33">
        <v>23</v>
      </c>
      <c r="AB83" s="36">
        <v>80</v>
      </c>
      <c r="AC83" s="7" t="s">
        <v>143</v>
      </c>
      <c r="AD83" s="12" t="str">
        <f t="shared" si="2"/>
        <v>C07</v>
      </c>
      <c r="AE83" s="9" t="str">
        <f t="shared" si="3"/>
        <v>DA</v>
      </c>
      <c r="AF83" s="27" t="s">
        <v>148</v>
      </c>
      <c r="AG83" s="27">
        <v>1</v>
      </c>
      <c r="AH83" t="s">
        <v>140</v>
      </c>
      <c r="AI83" s="7" t="s">
        <v>141</v>
      </c>
      <c r="AJ83" s="26">
        <v>46056</v>
      </c>
    </row>
    <row r="84" spans="1:36" ht="12.95" customHeight="1">
      <c r="A84" s="12" t="s">
        <v>158</v>
      </c>
      <c r="B84" s="12" t="s">
        <v>142</v>
      </c>
      <c r="C84">
        <v>82</v>
      </c>
      <c r="D84" t="s">
        <v>52</v>
      </c>
      <c r="E84" s="12" t="s">
        <v>339</v>
      </c>
      <c r="F84" s="12" t="s">
        <v>27</v>
      </c>
      <c r="G84" s="27" t="s">
        <v>447</v>
      </c>
      <c r="H84" s="27" t="s">
        <v>555</v>
      </c>
      <c r="I84" s="30" t="s">
        <v>224</v>
      </c>
      <c r="J84" s="16">
        <v>111111</v>
      </c>
      <c r="K84" t="s">
        <v>54</v>
      </c>
      <c r="N84" s="27" t="s">
        <v>694</v>
      </c>
      <c r="O84" s="27" t="s">
        <v>247</v>
      </c>
      <c r="P84" s="30" t="s">
        <v>749</v>
      </c>
      <c r="Q84" s="30" t="s">
        <v>146</v>
      </c>
      <c r="R84" s="12" t="s">
        <v>144</v>
      </c>
      <c r="S84" t="s">
        <v>55</v>
      </c>
      <c r="T84" t="s">
        <v>56</v>
      </c>
      <c r="U84" t="s">
        <v>57</v>
      </c>
      <c r="V84" t="s">
        <v>58</v>
      </c>
      <c r="W84" t="s">
        <v>59</v>
      </c>
      <c r="Y84" s="1">
        <v>45524</v>
      </c>
      <c r="Z84">
        <v>630900</v>
      </c>
      <c r="AA84" s="33">
        <v>7</v>
      </c>
      <c r="AB84" s="36">
        <v>40</v>
      </c>
      <c r="AC84" s="7" t="s">
        <v>143</v>
      </c>
      <c r="AD84" s="12" t="str">
        <f t="shared" si="2"/>
        <v>C08</v>
      </c>
      <c r="AE84" s="9" t="str">
        <f t="shared" si="3"/>
        <v>NU</v>
      </c>
      <c r="AF84" s="27" t="s">
        <v>148</v>
      </c>
      <c r="AG84" s="27">
        <v>1</v>
      </c>
      <c r="AH84" t="s">
        <v>140</v>
      </c>
      <c r="AI84" s="7" t="s">
        <v>141</v>
      </c>
      <c r="AJ84" s="26">
        <v>46056</v>
      </c>
    </row>
    <row r="85" spans="1:36" ht="12.95" customHeight="1">
      <c r="A85" s="12" t="s">
        <v>159</v>
      </c>
      <c r="B85" s="12" t="s">
        <v>142</v>
      </c>
      <c r="C85">
        <v>83</v>
      </c>
      <c r="D85" t="s">
        <v>52</v>
      </c>
      <c r="E85" s="12" t="s">
        <v>340</v>
      </c>
      <c r="F85" s="12" t="s">
        <v>27</v>
      </c>
      <c r="G85" s="27" t="s">
        <v>448</v>
      </c>
      <c r="H85" s="27" t="s">
        <v>212</v>
      </c>
      <c r="I85" s="30" t="s">
        <v>224</v>
      </c>
      <c r="J85" s="16">
        <v>111111</v>
      </c>
      <c r="K85" t="s">
        <v>54</v>
      </c>
      <c r="N85" s="27" t="s">
        <v>242</v>
      </c>
      <c r="O85" s="27" t="s">
        <v>249</v>
      </c>
      <c r="P85" s="30" t="s">
        <v>251</v>
      </c>
      <c r="Q85" s="30" t="s">
        <v>254</v>
      </c>
      <c r="R85" s="12" t="s">
        <v>144</v>
      </c>
      <c r="S85" t="s">
        <v>55</v>
      </c>
      <c r="T85" t="s">
        <v>56</v>
      </c>
      <c r="U85" t="s">
        <v>57</v>
      </c>
      <c r="V85" t="s">
        <v>58</v>
      </c>
      <c r="W85" t="s">
        <v>59</v>
      </c>
      <c r="Y85" s="1">
        <v>45524</v>
      </c>
      <c r="Z85">
        <v>630900</v>
      </c>
      <c r="AA85" s="33">
        <v>6</v>
      </c>
      <c r="AB85" s="36">
        <v>40</v>
      </c>
      <c r="AC85" s="7" t="s">
        <v>143</v>
      </c>
      <c r="AD85" s="12" t="str">
        <f t="shared" si="2"/>
        <v>C08</v>
      </c>
      <c r="AE85" s="9" t="str">
        <f t="shared" si="3"/>
        <v>NU</v>
      </c>
      <c r="AF85" s="27" t="s">
        <v>176</v>
      </c>
      <c r="AG85" s="27">
        <v>1</v>
      </c>
      <c r="AH85" t="s">
        <v>140</v>
      </c>
      <c r="AI85" s="7" t="s">
        <v>141</v>
      </c>
      <c r="AJ85" s="26">
        <v>46056</v>
      </c>
    </row>
    <row r="86" spans="1:36" ht="12.95" customHeight="1">
      <c r="A86" s="12" t="s">
        <v>126</v>
      </c>
      <c r="B86" s="12" t="s">
        <v>142</v>
      </c>
      <c r="C86">
        <v>84</v>
      </c>
      <c r="D86" t="s">
        <v>52</v>
      </c>
      <c r="E86" s="12" t="s">
        <v>341</v>
      </c>
      <c r="F86" s="12" t="s">
        <v>27</v>
      </c>
      <c r="G86" s="27" t="s">
        <v>449</v>
      </c>
      <c r="H86" s="27" t="s">
        <v>556</v>
      </c>
      <c r="I86" s="30" t="s">
        <v>215</v>
      </c>
      <c r="J86" s="16">
        <v>111111</v>
      </c>
      <c r="K86" t="s">
        <v>54</v>
      </c>
      <c r="N86" s="27" t="s">
        <v>695</v>
      </c>
      <c r="O86" s="27" t="s">
        <v>247</v>
      </c>
      <c r="P86" s="30" t="s">
        <v>749</v>
      </c>
      <c r="Q86" s="30" t="s">
        <v>146</v>
      </c>
      <c r="R86" s="12" t="s">
        <v>144</v>
      </c>
      <c r="S86" t="s">
        <v>55</v>
      </c>
      <c r="T86" t="s">
        <v>56</v>
      </c>
      <c r="U86" t="s">
        <v>57</v>
      </c>
      <c r="V86" t="s">
        <v>58</v>
      </c>
      <c r="W86" t="s">
        <v>59</v>
      </c>
      <c r="Y86" s="1">
        <v>45524</v>
      </c>
      <c r="Z86">
        <v>630900</v>
      </c>
      <c r="AA86" s="33">
        <v>2</v>
      </c>
      <c r="AB86" s="36">
        <v>40</v>
      </c>
      <c r="AC86" s="7" t="s">
        <v>143</v>
      </c>
      <c r="AD86" s="12" t="str">
        <f t="shared" si="2"/>
        <v>C08</v>
      </c>
      <c r="AE86" s="9" t="str">
        <f t="shared" si="3"/>
        <v>NU</v>
      </c>
      <c r="AF86" s="27" t="s">
        <v>810</v>
      </c>
      <c r="AG86" s="27">
        <v>1</v>
      </c>
      <c r="AH86" t="s">
        <v>140</v>
      </c>
      <c r="AI86" s="7" t="s">
        <v>141</v>
      </c>
      <c r="AJ86" s="26">
        <v>46056</v>
      </c>
    </row>
    <row r="87" spans="1:36" ht="12.95" customHeight="1">
      <c r="A87" s="12" t="s">
        <v>88</v>
      </c>
      <c r="B87" s="12" t="s">
        <v>142</v>
      </c>
      <c r="C87">
        <v>85</v>
      </c>
      <c r="D87" t="s">
        <v>52</v>
      </c>
      <c r="E87" s="12" t="s">
        <v>342</v>
      </c>
      <c r="F87" s="12" t="s">
        <v>27</v>
      </c>
      <c r="G87" s="27" t="s">
        <v>450</v>
      </c>
      <c r="H87" s="27" t="s">
        <v>557</v>
      </c>
      <c r="I87" s="30" t="s">
        <v>228</v>
      </c>
      <c r="J87" s="16">
        <v>111111</v>
      </c>
      <c r="K87" t="s">
        <v>54</v>
      </c>
      <c r="N87" s="27" t="s">
        <v>696</v>
      </c>
      <c r="O87" s="27" t="s">
        <v>247</v>
      </c>
      <c r="P87" s="30" t="s">
        <v>749</v>
      </c>
      <c r="Q87" s="30" t="s">
        <v>146</v>
      </c>
      <c r="R87" s="12" t="s">
        <v>144</v>
      </c>
      <c r="S87" t="s">
        <v>55</v>
      </c>
      <c r="T87" t="s">
        <v>56</v>
      </c>
      <c r="U87" t="s">
        <v>57</v>
      </c>
      <c r="V87" t="s">
        <v>58</v>
      </c>
      <c r="W87" t="s">
        <v>59</v>
      </c>
      <c r="Y87" s="1">
        <v>45524</v>
      </c>
      <c r="Z87">
        <v>630900</v>
      </c>
      <c r="AA87" s="33">
        <v>7</v>
      </c>
      <c r="AB87" s="36">
        <v>40</v>
      </c>
      <c r="AC87" s="7" t="s">
        <v>143</v>
      </c>
      <c r="AD87" s="12" t="str">
        <f t="shared" si="2"/>
        <v>C08</v>
      </c>
      <c r="AE87" s="9" t="str">
        <f t="shared" si="3"/>
        <v>NU</v>
      </c>
      <c r="AF87" s="27" t="s">
        <v>797</v>
      </c>
      <c r="AG87" s="27">
        <v>1</v>
      </c>
      <c r="AH87" t="s">
        <v>140</v>
      </c>
      <c r="AI87" s="7" t="s">
        <v>141</v>
      </c>
      <c r="AJ87" s="26">
        <v>46056</v>
      </c>
    </row>
    <row r="88" spans="1:36" ht="12.95" customHeight="1">
      <c r="A88" s="12" t="s">
        <v>160</v>
      </c>
      <c r="B88" s="12" t="s">
        <v>142</v>
      </c>
      <c r="C88">
        <v>86</v>
      </c>
      <c r="D88" t="s">
        <v>52</v>
      </c>
      <c r="E88" s="12" t="s">
        <v>343</v>
      </c>
      <c r="F88" s="12" t="s">
        <v>27</v>
      </c>
      <c r="G88" s="27" t="s">
        <v>451</v>
      </c>
      <c r="H88" s="27" t="s">
        <v>558</v>
      </c>
      <c r="I88" s="30" t="s">
        <v>218</v>
      </c>
      <c r="J88" s="16">
        <v>111111</v>
      </c>
      <c r="K88" t="s">
        <v>54</v>
      </c>
      <c r="N88" s="27" t="s">
        <v>697</v>
      </c>
      <c r="O88" s="27" t="s">
        <v>196</v>
      </c>
      <c r="P88" s="30" t="s">
        <v>749</v>
      </c>
      <c r="Q88" s="30" t="s">
        <v>146</v>
      </c>
      <c r="R88" s="12" t="s">
        <v>144</v>
      </c>
      <c r="S88" t="s">
        <v>55</v>
      </c>
      <c r="T88" t="s">
        <v>56</v>
      </c>
      <c r="U88" t="s">
        <v>57</v>
      </c>
      <c r="V88" t="s">
        <v>58</v>
      </c>
      <c r="W88" t="s">
        <v>59</v>
      </c>
      <c r="Y88" s="1">
        <v>45524</v>
      </c>
      <c r="Z88">
        <v>630900</v>
      </c>
      <c r="AA88" s="33">
        <v>11</v>
      </c>
      <c r="AB88" s="36">
        <v>40</v>
      </c>
      <c r="AC88" s="7" t="s">
        <v>143</v>
      </c>
      <c r="AD88" s="12" t="str">
        <f t="shared" si="2"/>
        <v>C08</v>
      </c>
      <c r="AE88" s="9" t="str">
        <f t="shared" si="3"/>
        <v>NU</v>
      </c>
      <c r="AF88" s="27" t="s">
        <v>257</v>
      </c>
      <c r="AG88" s="27">
        <v>1</v>
      </c>
      <c r="AH88" t="s">
        <v>140</v>
      </c>
      <c r="AI88" s="7" t="s">
        <v>141</v>
      </c>
      <c r="AJ88" s="26">
        <v>46056</v>
      </c>
    </row>
    <row r="89" spans="1:36" ht="12.95" customHeight="1">
      <c r="A89" s="12" t="s">
        <v>161</v>
      </c>
      <c r="B89" s="12" t="s">
        <v>142</v>
      </c>
      <c r="C89">
        <v>87</v>
      </c>
      <c r="D89" t="s">
        <v>52</v>
      </c>
      <c r="E89" s="12" t="s">
        <v>344</v>
      </c>
      <c r="F89" s="12" t="s">
        <v>27</v>
      </c>
      <c r="G89" s="27" t="s">
        <v>452</v>
      </c>
      <c r="H89" s="27" t="s">
        <v>559</v>
      </c>
      <c r="I89" s="30" t="s">
        <v>224</v>
      </c>
      <c r="J89" s="16">
        <v>111111</v>
      </c>
      <c r="K89" t="s">
        <v>54</v>
      </c>
      <c r="N89" s="27" t="s">
        <v>698</v>
      </c>
      <c r="O89" s="27" t="s">
        <v>248</v>
      </c>
      <c r="P89" s="30" t="s">
        <v>749</v>
      </c>
      <c r="Q89" s="30" t="s">
        <v>145</v>
      </c>
      <c r="R89" s="12" t="s">
        <v>144</v>
      </c>
      <c r="S89" t="s">
        <v>55</v>
      </c>
      <c r="T89" t="s">
        <v>56</v>
      </c>
      <c r="U89" t="s">
        <v>57</v>
      </c>
      <c r="V89" t="s">
        <v>58</v>
      </c>
      <c r="W89" t="s">
        <v>59</v>
      </c>
      <c r="Y89" s="1">
        <v>45524</v>
      </c>
      <c r="Z89">
        <v>630900</v>
      </c>
      <c r="AA89" s="33">
        <v>9</v>
      </c>
      <c r="AB89" s="36">
        <v>40</v>
      </c>
      <c r="AC89" s="7" t="s">
        <v>143</v>
      </c>
      <c r="AD89" s="12" t="str">
        <f t="shared" si="2"/>
        <v>C08</v>
      </c>
      <c r="AE89" s="9" t="str">
        <f t="shared" si="3"/>
        <v>NU</v>
      </c>
      <c r="AF89" s="27" t="s">
        <v>201</v>
      </c>
      <c r="AG89" s="30">
        <v>1</v>
      </c>
      <c r="AH89" t="s">
        <v>140</v>
      </c>
      <c r="AI89" s="7" t="s">
        <v>141</v>
      </c>
      <c r="AJ89" s="26">
        <v>46056</v>
      </c>
    </row>
    <row r="90" spans="1:36" ht="12.95" customHeight="1">
      <c r="A90" s="12" t="s">
        <v>162</v>
      </c>
      <c r="B90" s="12" t="s">
        <v>142</v>
      </c>
      <c r="C90">
        <v>88</v>
      </c>
      <c r="D90" t="s">
        <v>52</v>
      </c>
      <c r="E90" s="12" t="s">
        <v>345</v>
      </c>
      <c r="F90" s="12" t="s">
        <v>27</v>
      </c>
      <c r="G90" s="27" t="s">
        <v>453</v>
      </c>
      <c r="H90" s="27" t="s">
        <v>560</v>
      </c>
      <c r="I90" s="30" t="s">
        <v>214</v>
      </c>
      <c r="J90" s="16">
        <v>111111</v>
      </c>
      <c r="K90" t="s">
        <v>54</v>
      </c>
      <c r="N90" s="27" t="s">
        <v>699</v>
      </c>
      <c r="O90" s="27" t="s">
        <v>735</v>
      </c>
      <c r="P90" s="30" t="s">
        <v>749</v>
      </c>
      <c r="Q90" s="30" t="s">
        <v>146</v>
      </c>
      <c r="R90" s="12" t="s">
        <v>144</v>
      </c>
      <c r="S90" t="s">
        <v>55</v>
      </c>
      <c r="T90" t="s">
        <v>56</v>
      </c>
      <c r="U90" t="s">
        <v>57</v>
      </c>
      <c r="V90" t="s">
        <v>58</v>
      </c>
      <c r="W90" t="s">
        <v>59</v>
      </c>
      <c r="Y90" s="1">
        <v>45524</v>
      </c>
      <c r="Z90">
        <v>630900</v>
      </c>
      <c r="AA90" s="32">
        <v>5</v>
      </c>
      <c r="AB90" s="35">
        <v>40</v>
      </c>
      <c r="AC90" s="7" t="s">
        <v>143</v>
      </c>
      <c r="AD90" s="12" t="str">
        <f t="shared" si="2"/>
        <v>C08</v>
      </c>
      <c r="AE90" s="9" t="str">
        <f t="shared" si="3"/>
        <v>NU</v>
      </c>
      <c r="AF90" s="27" t="s">
        <v>811</v>
      </c>
      <c r="AG90" s="30">
        <v>1</v>
      </c>
      <c r="AH90" t="s">
        <v>140</v>
      </c>
      <c r="AI90" s="7" t="s">
        <v>141</v>
      </c>
      <c r="AJ90" s="26">
        <v>46056</v>
      </c>
    </row>
    <row r="91" spans="1:36" ht="12.95" customHeight="1">
      <c r="A91" s="12" t="s">
        <v>163</v>
      </c>
      <c r="B91" s="12" t="s">
        <v>142</v>
      </c>
      <c r="C91">
        <v>89</v>
      </c>
      <c r="D91" t="s">
        <v>52</v>
      </c>
      <c r="E91" s="12" t="s">
        <v>346</v>
      </c>
      <c r="F91" s="12" t="s">
        <v>27</v>
      </c>
      <c r="G91" s="27" t="s">
        <v>454</v>
      </c>
      <c r="H91" s="27" t="s">
        <v>561</v>
      </c>
      <c r="I91" s="30" t="s">
        <v>191</v>
      </c>
      <c r="J91" s="16">
        <v>111111</v>
      </c>
      <c r="K91" t="s">
        <v>54</v>
      </c>
      <c r="N91" s="27" t="s">
        <v>700</v>
      </c>
      <c r="O91" s="27" t="s">
        <v>247</v>
      </c>
      <c r="P91" s="30" t="s">
        <v>749</v>
      </c>
      <c r="Q91" s="30" t="s">
        <v>146</v>
      </c>
      <c r="R91" s="12" t="s">
        <v>144</v>
      </c>
      <c r="S91" t="s">
        <v>55</v>
      </c>
      <c r="T91" t="s">
        <v>56</v>
      </c>
      <c r="U91" t="s">
        <v>57</v>
      </c>
      <c r="V91" t="s">
        <v>58</v>
      </c>
      <c r="W91" t="s">
        <v>59</v>
      </c>
      <c r="Y91" s="1">
        <v>45524</v>
      </c>
      <c r="Z91">
        <v>630900</v>
      </c>
      <c r="AA91" s="33">
        <v>22</v>
      </c>
      <c r="AB91" s="36">
        <v>130</v>
      </c>
      <c r="AC91" s="7" t="s">
        <v>143</v>
      </c>
      <c r="AD91" s="12" t="str">
        <f t="shared" si="2"/>
        <v>C07</v>
      </c>
      <c r="AE91" s="9" t="str">
        <f t="shared" si="3"/>
        <v>DA</v>
      </c>
      <c r="AF91" s="27" t="s">
        <v>812</v>
      </c>
      <c r="AG91" s="27">
        <v>1</v>
      </c>
      <c r="AH91" t="s">
        <v>140</v>
      </c>
      <c r="AI91" s="7" t="s">
        <v>141</v>
      </c>
      <c r="AJ91" s="26">
        <v>46056</v>
      </c>
    </row>
    <row r="92" spans="1:36" ht="12.95" customHeight="1">
      <c r="A92" s="12" t="s">
        <v>102</v>
      </c>
      <c r="B92" s="12" t="s">
        <v>142</v>
      </c>
      <c r="C92">
        <v>90</v>
      </c>
      <c r="D92" t="s">
        <v>52</v>
      </c>
      <c r="E92" s="12" t="s">
        <v>347</v>
      </c>
      <c r="F92" s="12" t="s">
        <v>27</v>
      </c>
      <c r="G92" s="27" t="s">
        <v>455</v>
      </c>
      <c r="H92" s="27" t="s">
        <v>562</v>
      </c>
      <c r="I92" s="30" t="s">
        <v>228</v>
      </c>
      <c r="J92" s="16">
        <v>111111</v>
      </c>
      <c r="K92" t="s">
        <v>54</v>
      </c>
      <c r="N92" s="27" t="s">
        <v>701</v>
      </c>
      <c r="O92" s="27" t="s">
        <v>247</v>
      </c>
      <c r="P92" s="30" t="s">
        <v>749</v>
      </c>
      <c r="Q92" s="30" t="s">
        <v>146</v>
      </c>
      <c r="R92" s="12" t="s">
        <v>144</v>
      </c>
      <c r="S92" t="s">
        <v>55</v>
      </c>
      <c r="T92" t="s">
        <v>56</v>
      </c>
      <c r="U92" t="s">
        <v>57</v>
      </c>
      <c r="V92" t="s">
        <v>58</v>
      </c>
      <c r="W92" t="s">
        <v>59</v>
      </c>
      <c r="Y92" s="1">
        <v>45524</v>
      </c>
      <c r="Z92">
        <v>630900</v>
      </c>
      <c r="AA92" s="33">
        <v>28</v>
      </c>
      <c r="AB92" s="36">
        <v>40</v>
      </c>
      <c r="AC92" s="7" t="s">
        <v>143</v>
      </c>
      <c r="AD92" s="12" t="str">
        <f t="shared" si="2"/>
        <v>C08</v>
      </c>
      <c r="AE92" s="9" t="str">
        <f t="shared" si="3"/>
        <v>NU</v>
      </c>
      <c r="AF92" s="27" t="s">
        <v>174</v>
      </c>
      <c r="AG92" s="27">
        <v>1</v>
      </c>
      <c r="AH92" t="s">
        <v>140</v>
      </c>
      <c r="AI92" s="7" t="s">
        <v>141</v>
      </c>
      <c r="AJ92" s="26">
        <v>46056</v>
      </c>
    </row>
    <row r="93" spans="1:36" ht="12.95" customHeight="1">
      <c r="A93" s="12" t="s">
        <v>164</v>
      </c>
      <c r="B93" s="12" t="s">
        <v>142</v>
      </c>
      <c r="C93">
        <v>91</v>
      </c>
      <c r="D93" t="s">
        <v>52</v>
      </c>
      <c r="E93" s="12" t="s">
        <v>348</v>
      </c>
      <c r="F93" s="12" t="s">
        <v>27</v>
      </c>
      <c r="G93" s="27" t="s">
        <v>456</v>
      </c>
      <c r="H93" s="27" t="s">
        <v>563</v>
      </c>
      <c r="I93" s="30" t="s">
        <v>615</v>
      </c>
      <c r="J93" s="16">
        <v>111111</v>
      </c>
      <c r="K93" t="s">
        <v>54</v>
      </c>
      <c r="N93" s="27" t="s">
        <v>702</v>
      </c>
      <c r="O93" s="27" t="s">
        <v>247</v>
      </c>
      <c r="P93" s="30" t="s">
        <v>749</v>
      </c>
      <c r="Q93" s="30" t="s">
        <v>146</v>
      </c>
      <c r="R93" s="12" t="s">
        <v>144</v>
      </c>
      <c r="S93" t="s">
        <v>55</v>
      </c>
      <c r="T93" t="s">
        <v>56</v>
      </c>
      <c r="U93" t="s">
        <v>57</v>
      </c>
      <c r="V93" t="s">
        <v>58</v>
      </c>
      <c r="W93" t="s">
        <v>59</v>
      </c>
      <c r="Y93" s="1">
        <v>45524</v>
      </c>
      <c r="Z93">
        <v>630900</v>
      </c>
      <c r="AA93" s="33">
        <v>25</v>
      </c>
      <c r="AB93" s="36">
        <v>40</v>
      </c>
      <c r="AC93" s="7" t="s">
        <v>143</v>
      </c>
      <c r="AD93" s="12" t="str">
        <f t="shared" si="2"/>
        <v>C08</v>
      </c>
      <c r="AE93" s="9" t="str">
        <f t="shared" si="3"/>
        <v>NU</v>
      </c>
      <c r="AF93" s="27" t="s">
        <v>174</v>
      </c>
      <c r="AG93" s="27">
        <v>1</v>
      </c>
      <c r="AH93" t="s">
        <v>140</v>
      </c>
      <c r="AI93" s="7" t="s">
        <v>141</v>
      </c>
      <c r="AJ93" s="26">
        <v>46056</v>
      </c>
    </row>
    <row r="94" spans="1:36" ht="12.95" customHeight="1">
      <c r="A94" s="12" t="s">
        <v>85</v>
      </c>
      <c r="B94" s="12" t="s">
        <v>142</v>
      </c>
      <c r="C94">
        <v>92</v>
      </c>
      <c r="D94" t="s">
        <v>52</v>
      </c>
      <c r="E94" s="12" t="s">
        <v>349</v>
      </c>
      <c r="F94" s="12" t="s">
        <v>27</v>
      </c>
      <c r="G94" s="27" t="s">
        <v>457</v>
      </c>
      <c r="H94" s="27" t="s">
        <v>564</v>
      </c>
      <c r="I94" s="30" t="s">
        <v>224</v>
      </c>
      <c r="J94" s="16">
        <v>111111</v>
      </c>
      <c r="K94" t="s">
        <v>54</v>
      </c>
      <c r="N94" s="27" t="s">
        <v>703</v>
      </c>
      <c r="O94" s="27" t="s">
        <v>247</v>
      </c>
      <c r="P94" s="30" t="s">
        <v>749</v>
      </c>
      <c r="Q94" s="30" t="s">
        <v>146</v>
      </c>
      <c r="R94" s="12" t="s">
        <v>144</v>
      </c>
      <c r="S94" t="s">
        <v>55</v>
      </c>
      <c r="T94" t="s">
        <v>56</v>
      </c>
      <c r="U94" t="s">
        <v>57</v>
      </c>
      <c r="V94" t="s">
        <v>58</v>
      </c>
      <c r="W94" t="s">
        <v>59</v>
      </c>
      <c r="Y94" s="1">
        <v>45524</v>
      </c>
      <c r="Z94">
        <v>630900</v>
      </c>
      <c r="AA94" s="33">
        <v>25</v>
      </c>
      <c r="AB94" s="36">
        <v>40</v>
      </c>
      <c r="AC94" s="7" t="s">
        <v>143</v>
      </c>
      <c r="AD94" s="12" t="str">
        <f t="shared" si="2"/>
        <v>C08</v>
      </c>
      <c r="AE94" s="9" t="str">
        <f t="shared" si="3"/>
        <v>NU</v>
      </c>
      <c r="AF94" s="27" t="s">
        <v>174</v>
      </c>
      <c r="AG94" s="27">
        <v>1</v>
      </c>
      <c r="AH94" t="s">
        <v>140</v>
      </c>
      <c r="AI94" s="7" t="s">
        <v>141</v>
      </c>
      <c r="AJ94" s="26">
        <v>46056</v>
      </c>
    </row>
    <row r="95" spans="1:36" ht="12.95" customHeight="1">
      <c r="A95" s="12" t="s">
        <v>165</v>
      </c>
      <c r="B95" s="12" t="s">
        <v>142</v>
      </c>
      <c r="C95">
        <v>93</v>
      </c>
      <c r="D95" t="s">
        <v>52</v>
      </c>
      <c r="E95" s="12" t="s">
        <v>350</v>
      </c>
      <c r="F95" s="12" t="s">
        <v>27</v>
      </c>
      <c r="G95" s="27" t="s">
        <v>458</v>
      </c>
      <c r="H95" s="27" t="s">
        <v>565</v>
      </c>
      <c r="I95" s="30" t="s">
        <v>222</v>
      </c>
      <c r="J95" s="16">
        <v>111111</v>
      </c>
      <c r="K95" t="s">
        <v>54</v>
      </c>
      <c r="N95" s="27" t="s">
        <v>704</v>
      </c>
      <c r="O95" s="27" t="s">
        <v>742</v>
      </c>
      <c r="P95" s="30" t="s">
        <v>250</v>
      </c>
      <c r="Q95" s="30" t="s">
        <v>773</v>
      </c>
      <c r="R95" s="12" t="s">
        <v>144</v>
      </c>
      <c r="S95" t="s">
        <v>55</v>
      </c>
      <c r="T95" t="s">
        <v>56</v>
      </c>
      <c r="U95" t="s">
        <v>57</v>
      </c>
      <c r="V95" t="s">
        <v>58</v>
      </c>
      <c r="W95" t="s">
        <v>59</v>
      </c>
      <c r="Y95" s="1">
        <v>45524</v>
      </c>
      <c r="Z95">
        <v>630900</v>
      </c>
      <c r="AA95" s="33">
        <v>2</v>
      </c>
      <c r="AB95" s="36">
        <v>40</v>
      </c>
      <c r="AC95" s="7" t="s">
        <v>143</v>
      </c>
      <c r="AD95" s="12" t="str">
        <f t="shared" si="2"/>
        <v>C08</v>
      </c>
      <c r="AE95" s="9" t="str">
        <f t="shared" si="3"/>
        <v>NU</v>
      </c>
      <c r="AF95" s="27" t="s">
        <v>176</v>
      </c>
      <c r="AG95" s="27">
        <v>1</v>
      </c>
      <c r="AH95" t="s">
        <v>140</v>
      </c>
      <c r="AI95" s="7" t="s">
        <v>141</v>
      </c>
      <c r="AJ95" s="26">
        <v>46056</v>
      </c>
    </row>
    <row r="96" spans="1:36" ht="12.95" customHeight="1">
      <c r="A96" s="12" t="s">
        <v>166</v>
      </c>
      <c r="B96" s="12" t="s">
        <v>142</v>
      </c>
      <c r="C96">
        <v>94</v>
      </c>
      <c r="D96" t="s">
        <v>52</v>
      </c>
      <c r="E96" s="12" t="s">
        <v>351</v>
      </c>
      <c r="F96" s="12" t="s">
        <v>27</v>
      </c>
      <c r="G96" s="27" t="s">
        <v>459</v>
      </c>
      <c r="H96" s="27" t="s">
        <v>566</v>
      </c>
      <c r="I96" s="30" t="s">
        <v>223</v>
      </c>
      <c r="J96" s="16">
        <v>111111</v>
      </c>
      <c r="K96" t="s">
        <v>54</v>
      </c>
      <c r="N96" s="27" t="s">
        <v>705</v>
      </c>
      <c r="O96" s="27" t="s">
        <v>248</v>
      </c>
      <c r="P96" s="30" t="s">
        <v>749</v>
      </c>
      <c r="Q96" s="30" t="s">
        <v>145</v>
      </c>
      <c r="R96" s="12" t="s">
        <v>144</v>
      </c>
      <c r="S96" t="s">
        <v>55</v>
      </c>
      <c r="T96" t="s">
        <v>56</v>
      </c>
      <c r="U96" t="s">
        <v>57</v>
      </c>
      <c r="V96" t="s">
        <v>58</v>
      </c>
      <c r="W96" t="s">
        <v>59</v>
      </c>
      <c r="Y96" s="1">
        <v>45524</v>
      </c>
      <c r="Z96">
        <v>630900</v>
      </c>
      <c r="AA96" s="33">
        <v>0</v>
      </c>
      <c r="AB96" s="36">
        <v>130</v>
      </c>
      <c r="AC96" s="7" t="s">
        <v>143</v>
      </c>
      <c r="AD96" s="12" t="str">
        <f t="shared" si="2"/>
        <v>C07</v>
      </c>
      <c r="AE96" s="9" t="str">
        <f t="shared" si="3"/>
        <v>DA</v>
      </c>
      <c r="AF96" s="27" t="s">
        <v>813</v>
      </c>
      <c r="AG96" s="27">
        <v>1</v>
      </c>
      <c r="AH96" t="s">
        <v>140</v>
      </c>
      <c r="AI96" s="7" t="s">
        <v>141</v>
      </c>
      <c r="AJ96" s="26">
        <v>46056</v>
      </c>
    </row>
    <row r="97" spans="1:36" ht="12.95" customHeight="1">
      <c r="A97" s="12" t="s">
        <v>167</v>
      </c>
      <c r="B97" s="12" t="s">
        <v>142</v>
      </c>
      <c r="C97">
        <v>95</v>
      </c>
      <c r="D97" t="s">
        <v>52</v>
      </c>
      <c r="E97" s="12" t="s">
        <v>352</v>
      </c>
      <c r="F97" s="12" t="s">
        <v>27</v>
      </c>
      <c r="G97" s="27" t="s">
        <v>460</v>
      </c>
      <c r="H97" s="27" t="s">
        <v>567</v>
      </c>
      <c r="I97" s="30" t="s">
        <v>616</v>
      </c>
      <c r="J97" s="16">
        <v>111111</v>
      </c>
      <c r="K97" t="s">
        <v>54</v>
      </c>
      <c r="N97" s="27" t="s">
        <v>706</v>
      </c>
      <c r="O97" s="27" t="s">
        <v>197</v>
      </c>
      <c r="P97" s="30" t="s">
        <v>749</v>
      </c>
      <c r="Q97" s="30" t="s">
        <v>145</v>
      </c>
      <c r="R97" s="12" t="s">
        <v>144</v>
      </c>
      <c r="S97" t="s">
        <v>55</v>
      </c>
      <c r="T97" t="s">
        <v>56</v>
      </c>
      <c r="U97" t="s">
        <v>57</v>
      </c>
      <c r="V97" t="s">
        <v>58</v>
      </c>
      <c r="W97" t="s">
        <v>59</v>
      </c>
      <c r="Y97" s="1">
        <v>45524</v>
      </c>
      <c r="Z97">
        <v>630900</v>
      </c>
      <c r="AA97" s="33">
        <v>25</v>
      </c>
      <c r="AB97" s="36">
        <v>75</v>
      </c>
      <c r="AC97" s="7" t="s">
        <v>143</v>
      </c>
      <c r="AD97" s="12" t="str">
        <f t="shared" si="2"/>
        <v>C07</v>
      </c>
      <c r="AE97" s="9" t="str">
        <f t="shared" si="3"/>
        <v>DA</v>
      </c>
      <c r="AF97" s="27" t="s">
        <v>201</v>
      </c>
      <c r="AG97" s="27">
        <v>2</v>
      </c>
      <c r="AH97" t="s">
        <v>140</v>
      </c>
      <c r="AI97" s="7" t="s">
        <v>141</v>
      </c>
      <c r="AJ97" s="26">
        <v>46056</v>
      </c>
    </row>
    <row r="98" spans="1:36" ht="12.95" customHeight="1">
      <c r="A98" s="12" t="s">
        <v>168</v>
      </c>
      <c r="B98" s="12" t="s">
        <v>142</v>
      </c>
      <c r="C98">
        <v>96</v>
      </c>
      <c r="D98" t="s">
        <v>52</v>
      </c>
      <c r="E98" s="12" t="s">
        <v>353</v>
      </c>
      <c r="F98" s="12" t="s">
        <v>27</v>
      </c>
      <c r="G98" s="27" t="s">
        <v>461</v>
      </c>
      <c r="H98" s="27" t="s">
        <v>568</v>
      </c>
      <c r="I98" s="30" t="s">
        <v>617</v>
      </c>
      <c r="J98" s="16">
        <v>111111</v>
      </c>
      <c r="K98" t="s">
        <v>54</v>
      </c>
      <c r="N98" s="27" t="s">
        <v>707</v>
      </c>
      <c r="O98" s="27" t="s">
        <v>248</v>
      </c>
      <c r="P98" s="30" t="s">
        <v>749</v>
      </c>
      <c r="Q98" s="30" t="s">
        <v>145</v>
      </c>
      <c r="R98" s="12" t="s">
        <v>144</v>
      </c>
      <c r="S98" t="s">
        <v>55</v>
      </c>
      <c r="T98" t="s">
        <v>56</v>
      </c>
      <c r="U98" t="s">
        <v>57</v>
      </c>
      <c r="V98" t="s">
        <v>58</v>
      </c>
      <c r="W98" t="s">
        <v>59</v>
      </c>
      <c r="Y98" s="1">
        <v>45524</v>
      </c>
      <c r="Z98">
        <v>630900</v>
      </c>
      <c r="AA98" s="33">
        <v>13</v>
      </c>
      <c r="AB98" s="36">
        <v>40</v>
      </c>
      <c r="AC98" s="7" t="s">
        <v>143</v>
      </c>
      <c r="AD98" s="12" t="str">
        <f t="shared" si="2"/>
        <v>C08</v>
      </c>
      <c r="AE98" s="9" t="str">
        <f t="shared" si="3"/>
        <v>NU</v>
      </c>
      <c r="AF98" s="27" t="s">
        <v>811</v>
      </c>
      <c r="AG98" s="27">
        <v>1</v>
      </c>
      <c r="AH98" t="s">
        <v>140</v>
      </c>
      <c r="AI98" s="7" t="s">
        <v>141</v>
      </c>
      <c r="AJ98" s="26">
        <v>46056</v>
      </c>
    </row>
    <row r="99" spans="1:36" ht="12.95" customHeight="1">
      <c r="A99" s="12" t="s">
        <v>169</v>
      </c>
      <c r="B99" s="12" t="s">
        <v>142</v>
      </c>
      <c r="C99">
        <v>97</v>
      </c>
      <c r="D99" t="s">
        <v>52</v>
      </c>
      <c r="E99" s="12" t="s">
        <v>354</v>
      </c>
      <c r="F99" s="12" t="s">
        <v>27</v>
      </c>
      <c r="G99" s="27" t="s">
        <v>462</v>
      </c>
      <c r="H99" s="27" t="s">
        <v>569</v>
      </c>
      <c r="I99" s="30" t="s">
        <v>618</v>
      </c>
      <c r="J99" s="16">
        <v>111111</v>
      </c>
      <c r="K99" t="s">
        <v>54</v>
      </c>
      <c r="N99" s="27" t="s">
        <v>708</v>
      </c>
      <c r="O99" s="27" t="s">
        <v>247</v>
      </c>
      <c r="P99" s="30" t="s">
        <v>749</v>
      </c>
      <c r="Q99" s="30" t="s">
        <v>146</v>
      </c>
      <c r="R99" s="12" t="s">
        <v>144</v>
      </c>
      <c r="S99" t="s">
        <v>55</v>
      </c>
      <c r="T99" t="s">
        <v>56</v>
      </c>
      <c r="U99" t="s">
        <v>57</v>
      </c>
      <c r="V99" t="s">
        <v>58</v>
      </c>
      <c r="W99" t="s">
        <v>59</v>
      </c>
      <c r="Y99" s="1">
        <v>45524</v>
      </c>
      <c r="Z99">
        <v>630900</v>
      </c>
      <c r="AA99" s="33">
        <v>21</v>
      </c>
      <c r="AB99" s="36">
        <v>40</v>
      </c>
      <c r="AC99" s="7" t="s">
        <v>143</v>
      </c>
      <c r="AD99" s="12" t="str">
        <f t="shared" si="2"/>
        <v>C08</v>
      </c>
      <c r="AE99" s="9" t="str">
        <f t="shared" si="3"/>
        <v>NU</v>
      </c>
      <c r="AF99" s="27" t="s">
        <v>201</v>
      </c>
      <c r="AG99" s="27">
        <v>2</v>
      </c>
      <c r="AH99" t="s">
        <v>140</v>
      </c>
      <c r="AI99" s="7" t="s">
        <v>141</v>
      </c>
      <c r="AJ99" s="26">
        <v>46056</v>
      </c>
    </row>
    <row r="100" spans="1:36" ht="12.95" customHeight="1">
      <c r="A100" s="12" t="s">
        <v>170</v>
      </c>
      <c r="B100" s="12" t="s">
        <v>142</v>
      </c>
      <c r="C100">
        <v>98</v>
      </c>
      <c r="D100" t="s">
        <v>52</v>
      </c>
      <c r="E100" s="12" t="s">
        <v>355</v>
      </c>
      <c r="F100" s="12" t="s">
        <v>27</v>
      </c>
      <c r="G100" s="27" t="s">
        <v>463</v>
      </c>
      <c r="H100" s="27" t="s">
        <v>570</v>
      </c>
      <c r="I100" s="30" t="s">
        <v>216</v>
      </c>
      <c r="J100" s="16">
        <v>111111</v>
      </c>
      <c r="K100" t="s">
        <v>54</v>
      </c>
      <c r="N100" s="27" t="s">
        <v>709</v>
      </c>
      <c r="O100" s="27" t="s">
        <v>247</v>
      </c>
      <c r="P100" s="30" t="s">
        <v>749</v>
      </c>
      <c r="Q100" s="30" t="s">
        <v>146</v>
      </c>
      <c r="R100" s="12" t="s">
        <v>144</v>
      </c>
      <c r="S100" t="s">
        <v>55</v>
      </c>
      <c r="T100" t="s">
        <v>56</v>
      </c>
      <c r="U100" t="s">
        <v>57</v>
      </c>
      <c r="V100" t="s">
        <v>58</v>
      </c>
      <c r="W100" t="s">
        <v>59</v>
      </c>
      <c r="Y100" s="1">
        <v>45524</v>
      </c>
      <c r="Z100">
        <v>630900</v>
      </c>
      <c r="AA100" s="33">
        <v>14</v>
      </c>
      <c r="AB100" s="36">
        <v>40</v>
      </c>
      <c r="AC100" s="7" t="s">
        <v>143</v>
      </c>
      <c r="AD100" s="12" t="str">
        <f t="shared" si="2"/>
        <v>C08</v>
      </c>
      <c r="AE100" s="9" t="str">
        <f t="shared" si="3"/>
        <v>NU</v>
      </c>
      <c r="AF100" s="27" t="s">
        <v>201</v>
      </c>
      <c r="AG100" s="27">
        <v>1</v>
      </c>
      <c r="AH100" t="s">
        <v>140</v>
      </c>
      <c r="AI100" s="7" t="s">
        <v>141</v>
      </c>
      <c r="AJ100" s="26">
        <v>46056</v>
      </c>
    </row>
    <row r="101" spans="1:36" ht="12.95" customHeight="1">
      <c r="A101" s="12" t="s">
        <v>171</v>
      </c>
      <c r="B101" s="12" t="s">
        <v>142</v>
      </c>
      <c r="C101">
        <v>99</v>
      </c>
      <c r="D101" t="s">
        <v>52</v>
      </c>
      <c r="E101" s="12" t="s">
        <v>356</v>
      </c>
      <c r="F101" s="12" t="s">
        <v>27</v>
      </c>
      <c r="G101" s="27" t="s">
        <v>464</v>
      </c>
      <c r="H101" s="27" t="s">
        <v>571</v>
      </c>
      <c r="I101" s="30" t="s">
        <v>224</v>
      </c>
      <c r="J101" s="16">
        <v>111111</v>
      </c>
      <c r="K101" t="s">
        <v>54</v>
      </c>
      <c r="N101" s="27" t="s">
        <v>710</v>
      </c>
      <c r="O101" s="27" t="s">
        <v>247</v>
      </c>
      <c r="P101" s="30" t="s">
        <v>749</v>
      </c>
      <c r="Q101" s="30" t="s">
        <v>146</v>
      </c>
      <c r="R101" s="12" t="s">
        <v>144</v>
      </c>
      <c r="S101" t="s">
        <v>55</v>
      </c>
      <c r="T101" t="s">
        <v>56</v>
      </c>
      <c r="U101" t="s">
        <v>57</v>
      </c>
      <c r="V101" t="s">
        <v>58</v>
      </c>
      <c r="W101" t="s">
        <v>59</v>
      </c>
      <c r="Y101" s="1">
        <v>45524</v>
      </c>
      <c r="Z101">
        <v>630900</v>
      </c>
      <c r="AA101" s="33">
        <v>14</v>
      </c>
      <c r="AB101" s="36">
        <v>40</v>
      </c>
      <c r="AC101" s="7" t="s">
        <v>143</v>
      </c>
      <c r="AD101" s="12" t="str">
        <f t="shared" si="2"/>
        <v>C08</v>
      </c>
      <c r="AE101" s="9" t="str">
        <f t="shared" si="3"/>
        <v>NU</v>
      </c>
      <c r="AF101" s="27" t="s">
        <v>814</v>
      </c>
      <c r="AG101" s="27">
        <v>1</v>
      </c>
      <c r="AH101" t="s">
        <v>140</v>
      </c>
      <c r="AI101" s="7" t="s">
        <v>141</v>
      </c>
      <c r="AJ101" s="26">
        <v>46056</v>
      </c>
    </row>
    <row r="102" spans="1:36" ht="12.95" customHeight="1">
      <c r="A102" s="12" t="s">
        <v>172</v>
      </c>
      <c r="B102" s="12" t="s">
        <v>142</v>
      </c>
      <c r="C102">
        <v>100</v>
      </c>
      <c r="D102" t="s">
        <v>52</v>
      </c>
      <c r="E102" s="12" t="s">
        <v>357</v>
      </c>
      <c r="F102" s="12" t="s">
        <v>27</v>
      </c>
      <c r="G102" s="27" t="s">
        <v>465</v>
      </c>
      <c r="H102" s="27" t="s">
        <v>572</v>
      </c>
      <c r="I102" s="30" t="s">
        <v>615</v>
      </c>
      <c r="J102" s="16">
        <v>111111</v>
      </c>
      <c r="K102" t="s">
        <v>54</v>
      </c>
      <c r="N102" s="27" t="s">
        <v>711</v>
      </c>
      <c r="O102" s="27" t="s">
        <v>247</v>
      </c>
      <c r="P102" s="30" t="s">
        <v>749</v>
      </c>
      <c r="Q102" s="30" t="s">
        <v>146</v>
      </c>
      <c r="R102" s="12" t="s">
        <v>144</v>
      </c>
      <c r="S102" t="s">
        <v>55</v>
      </c>
      <c r="T102" t="s">
        <v>56</v>
      </c>
      <c r="U102" t="s">
        <v>57</v>
      </c>
      <c r="V102" t="s">
        <v>58</v>
      </c>
      <c r="W102" t="s">
        <v>59</v>
      </c>
      <c r="Y102" s="1">
        <v>45524</v>
      </c>
      <c r="Z102">
        <v>630900</v>
      </c>
      <c r="AA102" s="33">
        <v>4</v>
      </c>
      <c r="AB102" s="36">
        <v>40</v>
      </c>
      <c r="AC102" s="7" t="s">
        <v>143</v>
      </c>
      <c r="AD102" s="12" t="str">
        <f t="shared" si="2"/>
        <v>C08</v>
      </c>
      <c r="AE102" s="9" t="str">
        <f t="shared" si="3"/>
        <v>NU</v>
      </c>
      <c r="AF102" s="27" t="s">
        <v>175</v>
      </c>
      <c r="AG102" s="27">
        <v>1</v>
      </c>
      <c r="AH102" t="s">
        <v>140</v>
      </c>
      <c r="AI102" s="7" t="s">
        <v>141</v>
      </c>
      <c r="AJ102" s="26">
        <v>46056</v>
      </c>
    </row>
    <row r="103" spans="1:36" ht="12.95" customHeight="1">
      <c r="A103" s="12" t="s">
        <v>173</v>
      </c>
      <c r="B103" s="12" t="s">
        <v>142</v>
      </c>
      <c r="C103">
        <v>101</v>
      </c>
      <c r="D103" t="s">
        <v>52</v>
      </c>
      <c r="E103" s="12" t="s">
        <v>358</v>
      </c>
      <c r="F103" s="12" t="s">
        <v>27</v>
      </c>
      <c r="G103" s="27" t="s">
        <v>204</v>
      </c>
      <c r="H103" s="27" t="s">
        <v>210</v>
      </c>
      <c r="I103" s="30" t="s">
        <v>226</v>
      </c>
      <c r="J103" s="16">
        <v>111111</v>
      </c>
      <c r="K103" t="s">
        <v>54</v>
      </c>
      <c r="N103" s="27" t="s">
        <v>240</v>
      </c>
      <c r="O103" s="27" t="s">
        <v>247</v>
      </c>
      <c r="P103" s="30" t="s">
        <v>749</v>
      </c>
      <c r="Q103" s="30" t="s">
        <v>146</v>
      </c>
      <c r="R103" s="12" t="s">
        <v>144</v>
      </c>
      <c r="S103" t="s">
        <v>55</v>
      </c>
      <c r="T103" t="s">
        <v>56</v>
      </c>
      <c r="U103" t="s">
        <v>57</v>
      </c>
      <c r="V103" t="s">
        <v>58</v>
      </c>
      <c r="W103" t="s">
        <v>59</v>
      </c>
      <c r="Y103" s="1">
        <v>45524</v>
      </c>
      <c r="Z103">
        <v>630900</v>
      </c>
      <c r="AA103" s="33">
        <v>16</v>
      </c>
      <c r="AB103" s="36">
        <v>70</v>
      </c>
      <c r="AC103" s="7" t="s">
        <v>143</v>
      </c>
      <c r="AD103" s="12" t="str">
        <f t="shared" si="2"/>
        <v>C07</v>
      </c>
      <c r="AE103" s="9" t="str">
        <f t="shared" si="3"/>
        <v>DA</v>
      </c>
      <c r="AF103" s="27" t="s">
        <v>815</v>
      </c>
      <c r="AG103" s="27">
        <v>1</v>
      </c>
      <c r="AH103" t="s">
        <v>140</v>
      </c>
      <c r="AI103" s="7" t="s">
        <v>141</v>
      </c>
      <c r="AJ103" s="26">
        <v>46056</v>
      </c>
    </row>
    <row r="104" spans="1:36" ht="12.95" customHeight="1">
      <c r="A104" s="12" t="s">
        <v>177</v>
      </c>
      <c r="B104" s="12" t="s">
        <v>142</v>
      </c>
      <c r="C104">
        <v>102</v>
      </c>
      <c r="D104" t="s">
        <v>52</v>
      </c>
      <c r="E104" s="12" t="s">
        <v>359</v>
      </c>
      <c r="F104" s="12" t="s">
        <v>27</v>
      </c>
      <c r="G104" s="27" t="s">
        <v>466</v>
      </c>
      <c r="H104" s="27" t="s">
        <v>573</v>
      </c>
      <c r="I104" s="30" t="s">
        <v>229</v>
      </c>
      <c r="J104" s="16">
        <v>111111</v>
      </c>
      <c r="K104" t="s">
        <v>54</v>
      </c>
      <c r="N104" s="27" t="s">
        <v>712</v>
      </c>
      <c r="O104" s="27" t="s">
        <v>247</v>
      </c>
      <c r="P104" s="30" t="s">
        <v>749</v>
      </c>
      <c r="Q104" s="30" t="s">
        <v>146</v>
      </c>
      <c r="R104" s="12" t="s">
        <v>144</v>
      </c>
      <c r="S104" t="s">
        <v>55</v>
      </c>
      <c r="T104" t="s">
        <v>56</v>
      </c>
      <c r="U104" t="s">
        <v>57</v>
      </c>
      <c r="V104" t="s">
        <v>58</v>
      </c>
      <c r="W104" t="s">
        <v>59</v>
      </c>
      <c r="Y104" s="1">
        <v>45524</v>
      </c>
      <c r="Z104">
        <v>630900</v>
      </c>
      <c r="AA104" s="33">
        <v>13</v>
      </c>
      <c r="AB104" s="36">
        <v>40</v>
      </c>
      <c r="AC104" s="7" t="s">
        <v>143</v>
      </c>
      <c r="AD104" s="12" t="str">
        <f t="shared" si="2"/>
        <v>C08</v>
      </c>
      <c r="AE104" s="9" t="str">
        <f t="shared" si="3"/>
        <v>NU</v>
      </c>
      <c r="AF104" s="27" t="s">
        <v>810</v>
      </c>
      <c r="AG104" s="27">
        <v>3</v>
      </c>
      <c r="AH104" t="s">
        <v>140</v>
      </c>
      <c r="AI104" s="7" t="s">
        <v>141</v>
      </c>
      <c r="AJ104" s="26">
        <v>46056</v>
      </c>
    </row>
    <row r="105" spans="1:36" ht="12.95" customHeight="1">
      <c r="A105" s="12" t="s">
        <v>178</v>
      </c>
      <c r="B105" s="12" t="s">
        <v>142</v>
      </c>
      <c r="C105">
        <v>103</v>
      </c>
      <c r="D105" t="s">
        <v>52</v>
      </c>
      <c r="E105" s="12" t="s">
        <v>360</v>
      </c>
      <c r="F105" s="12" t="s">
        <v>27</v>
      </c>
      <c r="G105" s="27" t="s">
        <v>467</v>
      </c>
      <c r="H105" s="27" t="s">
        <v>574</v>
      </c>
      <c r="I105" s="30" t="s">
        <v>220</v>
      </c>
      <c r="J105" s="16">
        <v>111111</v>
      </c>
      <c r="K105" t="s">
        <v>54</v>
      </c>
      <c r="N105" s="27" t="s">
        <v>713</v>
      </c>
      <c r="O105" s="27" t="s">
        <v>247</v>
      </c>
      <c r="P105" s="30" t="s">
        <v>749</v>
      </c>
      <c r="Q105" s="30" t="s">
        <v>146</v>
      </c>
      <c r="R105" s="12" t="s">
        <v>144</v>
      </c>
      <c r="S105" t="s">
        <v>55</v>
      </c>
      <c r="T105" t="s">
        <v>56</v>
      </c>
      <c r="U105" t="s">
        <v>57</v>
      </c>
      <c r="V105" t="s">
        <v>58</v>
      </c>
      <c r="W105" t="s">
        <v>59</v>
      </c>
      <c r="Y105" s="1">
        <v>45524</v>
      </c>
      <c r="Z105">
        <v>630900</v>
      </c>
      <c r="AA105" s="33">
        <v>5</v>
      </c>
      <c r="AB105" s="36">
        <v>40</v>
      </c>
      <c r="AC105" s="7" t="s">
        <v>143</v>
      </c>
      <c r="AD105" s="12" t="str">
        <f t="shared" si="2"/>
        <v>C08</v>
      </c>
      <c r="AE105" s="9" t="str">
        <f t="shared" si="3"/>
        <v>NU</v>
      </c>
      <c r="AF105" s="27" t="s">
        <v>816</v>
      </c>
      <c r="AG105" s="27">
        <v>1</v>
      </c>
      <c r="AH105" t="s">
        <v>140</v>
      </c>
      <c r="AI105" s="7" t="s">
        <v>141</v>
      </c>
      <c r="AJ105" s="26">
        <v>46056</v>
      </c>
    </row>
    <row r="106" spans="1:36" ht="12.95" customHeight="1">
      <c r="A106" s="12" t="s">
        <v>179</v>
      </c>
      <c r="B106" s="12" t="s">
        <v>142</v>
      </c>
      <c r="C106">
        <v>104</v>
      </c>
      <c r="D106" t="s">
        <v>52</v>
      </c>
      <c r="E106" s="12" t="s">
        <v>361</v>
      </c>
      <c r="F106" s="12" t="s">
        <v>27</v>
      </c>
      <c r="G106" s="27" t="s">
        <v>468</v>
      </c>
      <c r="H106" s="27" t="s">
        <v>575</v>
      </c>
      <c r="I106" s="30" t="s">
        <v>228</v>
      </c>
      <c r="J106" s="16">
        <v>111111</v>
      </c>
      <c r="K106" t="s">
        <v>54</v>
      </c>
      <c r="N106" s="27" t="s">
        <v>714</v>
      </c>
      <c r="O106" s="27" t="s">
        <v>247</v>
      </c>
      <c r="P106" s="30" t="s">
        <v>749</v>
      </c>
      <c r="Q106" s="30" t="s">
        <v>146</v>
      </c>
      <c r="R106" s="12" t="s">
        <v>144</v>
      </c>
      <c r="S106" t="s">
        <v>55</v>
      </c>
      <c r="T106" t="s">
        <v>56</v>
      </c>
      <c r="U106" t="s">
        <v>57</v>
      </c>
      <c r="V106" t="s">
        <v>58</v>
      </c>
      <c r="W106" t="s">
        <v>59</v>
      </c>
      <c r="Y106" s="1">
        <v>45524</v>
      </c>
      <c r="Z106">
        <v>630900</v>
      </c>
      <c r="AA106" s="33">
        <v>4</v>
      </c>
      <c r="AB106" s="36">
        <v>40</v>
      </c>
      <c r="AC106" s="7" t="s">
        <v>143</v>
      </c>
      <c r="AD106" s="12" t="str">
        <f t="shared" si="2"/>
        <v>C08</v>
      </c>
      <c r="AE106" s="9" t="str">
        <f t="shared" si="3"/>
        <v>NU</v>
      </c>
      <c r="AF106" s="27" t="s">
        <v>174</v>
      </c>
      <c r="AG106" s="27">
        <v>1</v>
      </c>
      <c r="AH106" t="s">
        <v>140</v>
      </c>
      <c r="AI106" s="7" t="s">
        <v>141</v>
      </c>
      <c r="AJ106" s="26">
        <v>46056</v>
      </c>
    </row>
    <row r="107" spans="1:36" ht="12.95" customHeight="1">
      <c r="A107" s="12" t="s">
        <v>180</v>
      </c>
      <c r="B107" s="12" t="s">
        <v>142</v>
      </c>
      <c r="C107">
        <v>105</v>
      </c>
      <c r="D107" t="s">
        <v>52</v>
      </c>
      <c r="E107" s="12" t="s">
        <v>362</v>
      </c>
      <c r="F107" s="12" t="s">
        <v>27</v>
      </c>
      <c r="G107" s="27" t="s">
        <v>469</v>
      </c>
      <c r="H107" s="27" t="s">
        <v>576</v>
      </c>
      <c r="I107" s="30" t="s">
        <v>226</v>
      </c>
      <c r="J107" s="16">
        <v>111111</v>
      </c>
      <c r="K107" t="s">
        <v>54</v>
      </c>
      <c r="N107" s="27" t="s">
        <v>715</v>
      </c>
      <c r="O107" s="27" t="s">
        <v>247</v>
      </c>
      <c r="P107" s="30" t="s">
        <v>749</v>
      </c>
      <c r="Q107" s="30" t="s">
        <v>146</v>
      </c>
      <c r="R107" s="12" t="s">
        <v>144</v>
      </c>
      <c r="S107" t="s">
        <v>55</v>
      </c>
      <c r="T107" t="s">
        <v>56</v>
      </c>
      <c r="U107" t="s">
        <v>57</v>
      </c>
      <c r="V107" t="s">
        <v>58</v>
      </c>
      <c r="W107" t="s">
        <v>59</v>
      </c>
      <c r="Y107" s="1">
        <v>45524</v>
      </c>
      <c r="Z107">
        <v>630900</v>
      </c>
      <c r="AA107" s="33">
        <v>4</v>
      </c>
      <c r="AB107" s="36">
        <v>40</v>
      </c>
      <c r="AC107" s="7" t="s">
        <v>143</v>
      </c>
      <c r="AD107" s="12" t="str">
        <f t="shared" si="2"/>
        <v>C08</v>
      </c>
      <c r="AE107" s="9" t="str">
        <f t="shared" si="3"/>
        <v>NU</v>
      </c>
      <c r="AF107" s="27" t="s">
        <v>176</v>
      </c>
      <c r="AG107" s="27">
        <v>1</v>
      </c>
      <c r="AH107" t="s">
        <v>140</v>
      </c>
      <c r="AI107" s="7" t="s">
        <v>141</v>
      </c>
      <c r="AJ107" s="26">
        <v>46056</v>
      </c>
    </row>
    <row r="108" spans="1:36" ht="12.95" customHeight="1">
      <c r="A108" s="12" t="s">
        <v>181</v>
      </c>
      <c r="B108" s="12" t="s">
        <v>142</v>
      </c>
      <c r="C108">
        <v>106</v>
      </c>
      <c r="D108" t="s">
        <v>52</v>
      </c>
      <c r="E108" s="12" t="s">
        <v>363</v>
      </c>
      <c r="F108" s="12" t="s">
        <v>27</v>
      </c>
      <c r="G108" s="27" t="s">
        <v>470</v>
      </c>
      <c r="H108" s="27" t="s">
        <v>577</v>
      </c>
      <c r="I108" s="30" t="s">
        <v>235</v>
      </c>
      <c r="J108" s="16">
        <v>111111</v>
      </c>
      <c r="K108" t="s">
        <v>54</v>
      </c>
      <c r="N108" s="27" t="s">
        <v>716</v>
      </c>
      <c r="O108" s="27" t="s">
        <v>743</v>
      </c>
      <c r="P108" s="30" t="s">
        <v>760</v>
      </c>
      <c r="Q108" s="30" t="s">
        <v>774</v>
      </c>
      <c r="R108" s="12" t="s">
        <v>144</v>
      </c>
      <c r="S108" t="s">
        <v>55</v>
      </c>
      <c r="T108" t="s">
        <v>56</v>
      </c>
      <c r="U108" t="s">
        <v>57</v>
      </c>
      <c r="V108" t="s">
        <v>58</v>
      </c>
      <c r="W108" t="s">
        <v>59</v>
      </c>
      <c r="Y108" s="1">
        <v>45524</v>
      </c>
      <c r="Z108">
        <v>630900</v>
      </c>
      <c r="AA108" s="33">
        <v>19</v>
      </c>
      <c r="AB108" s="38">
        <v>40</v>
      </c>
      <c r="AC108" s="7" t="s">
        <v>143</v>
      </c>
      <c r="AD108" s="12" t="str">
        <f t="shared" si="2"/>
        <v>C08</v>
      </c>
      <c r="AE108" s="9" t="str">
        <f t="shared" si="3"/>
        <v>NU</v>
      </c>
      <c r="AF108" s="27" t="s">
        <v>256</v>
      </c>
      <c r="AG108" s="27">
        <v>1</v>
      </c>
      <c r="AH108" t="s">
        <v>140</v>
      </c>
      <c r="AI108" s="7" t="s">
        <v>141</v>
      </c>
      <c r="AJ108" s="26">
        <v>46056</v>
      </c>
    </row>
    <row r="109" spans="1:36" ht="12.95" customHeight="1">
      <c r="A109" s="12" t="s">
        <v>182</v>
      </c>
      <c r="B109" s="12" t="s">
        <v>142</v>
      </c>
      <c r="C109">
        <v>107</v>
      </c>
      <c r="D109" t="s">
        <v>52</v>
      </c>
      <c r="E109" s="12" t="s">
        <v>364</v>
      </c>
      <c r="F109" s="12" t="s">
        <v>27</v>
      </c>
      <c r="G109" s="27" t="s">
        <v>471</v>
      </c>
      <c r="H109" s="27" t="s">
        <v>578</v>
      </c>
      <c r="I109" s="30" t="s">
        <v>215</v>
      </c>
      <c r="J109" s="16">
        <v>111111</v>
      </c>
      <c r="K109" t="s">
        <v>54</v>
      </c>
      <c r="N109" s="27" t="s">
        <v>717</v>
      </c>
      <c r="O109" s="27" t="s">
        <v>744</v>
      </c>
      <c r="P109" s="30" t="s">
        <v>761</v>
      </c>
      <c r="Q109" s="30" t="s">
        <v>775</v>
      </c>
      <c r="R109" s="12" t="s">
        <v>144</v>
      </c>
      <c r="S109" t="s">
        <v>55</v>
      </c>
      <c r="T109" t="s">
        <v>56</v>
      </c>
      <c r="U109" t="s">
        <v>57</v>
      </c>
      <c r="V109" t="s">
        <v>58</v>
      </c>
      <c r="W109" t="s">
        <v>59</v>
      </c>
      <c r="Y109" s="1">
        <v>45524</v>
      </c>
      <c r="Z109">
        <v>630900</v>
      </c>
      <c r="AA109" s="33">
        <v>12</v>
      </c>
      <c r="AB109" s="38">
        <v>40</v>
      </c>
      <c r="AC109" s="7" t="s">
        <v>143</v>
      </c>
      <c r="AD109" s="12" t="str">
        <f t="shared" si="2"/>
        <v>C08</v>
      </c>
      <c r="AE109" s="9" t="str">
        <f t="shared" si="3"/>
        <v>NU</v>
      </c>
      <c r="AF109" s="27" t="s">
        <v>817</v>
      </c>
      <c r="AG109" s="27">
        <v>1</v>
      </c>
      <c r="AH109" t="s">
        <v>140</v>
      </c>
      <c r="AI109" s="7" t="s">
        <v>141</v>
      </c>
      <c r="AJ109" s="26">
        <v>46056</v>
      </c>
    </row>
    <row r="110" spans="1:36" ht="12.95" customHeight="1">
      <c r="A110" s="12" t="s">
        <v>183</v>
      </c>
      <c r="B110" s="12" t="s">
        <v>142</v>
      </c>
      <c r="C110">
        <v>108</v>
      </c>
      <c r="D110" t="s">
        <v>52</v>
      </c>
      <c r="E110" s="12" t="s">
        <v>365</v>
      </c>
      <c r="F110" s="12" t="s">
        <v>27</v>
      </c>
      <c r="G110" s="27" t="s">
        <v>472</v>
      </c>
      <c r="H110" s="27" t="s">
        <v>579</v>
      </c>
      <c r="I110" s="30" t="s">
        <v>619</v>
      </c>
      <c r="J110" s="16">
        <v>111111</v>
      </c>
      <c r="K110" t="s">
        <v>54</v>
      </c>
      <c r="N110" s="27" t="s">
        <v>718</v>
      </c>
      <c r="O110" s="27" t="s">
        <v>247</v>
      </c>
      <c r="P110" s="30" t="s">
        <v>749</v>
      </c>
      <c r="Q110" s="30" t="s">
        <v>146</v>
      </c>
      <c r="R110" s="12" t="s">
        <v>144</v>
      </c>
      <c r="S110" t="s">
        <v>55</v>
      </c>
      <c r="T110" t="s">
        <v>56</v>
      </c>
      <c r="U110" t="s">
        <v>57</v>
      </c>
      <c r="V110" t="s">
        <v>58</v>
      </c>
      <c r="W110" t="s">
        <v>59</v>
      </c>
      <c r="Y110" s="1">
        <v>45524</v>
      </c>
      <c r="Z110">
        <v>630900</v>
      </c>
      <c r="AA110" s="33">
        <v>22</v>
      </c>
      <c r="AB110" s="38">
        <v>60</v>
      </c>
      <c r="AC110" s="7" t="s">
        <v>143</v>
      </c>
      <c r="AD110" s="12" t="str">
        <f t="shared" si="2"/>
        <v>C07</v>
      </c>
      <c r="AE110" s="9" t="str">
        <f t="shared" si="3"/>
        <v>DA</v>
      </c>
      <c r="AF110" s="27" t="s">
        <v>818</v>
      </c>
      <c r="AG110" s="27">
        <v>1</v>
      </c>
      <c r="AH110" t="s">
        <v>140</v>
      </c>
      <c r="AI110" s="7" t="s">
        <v>141</v>
      </c>
      <c r="AJ110" s="26">
        <v>46056</v>
      </c>
    </row>
    <row r="111" spans="1:36" ht="12.95" customHeight="1">
      <c r="A111" s="12" t="s">
        <v>184</v>
      </c>
      <c r="B111" s="12" t="s">
        <v>142</v>
      </c>
      <c r="C111">
        <v>109</v>
      </c>
      <c r="D111" t="s">
        <v>52</v>
      </c>
      <c r="E111" s="12" t="s">
        <v>366</v>
      </c>
      <c r="F111" s="12" t="s">
        <v>27</v>
      </c>
      <c r="G111" s="29" t="s">
        <v>473</v>
      </c>
      <c r="H111" s="27" t="s">
        <v>580</v>
      </c>
      <c r="I111" s="30" t="s">
        <v>224</v>
      </c>
      <c r="J111" s="16">
        <v>111111</v>
      </c>
      <c r="K111" t="s">
        <v>54</v>
      </c>
      <c r="N111" s="29" t="s">
        <v>719</v>
      </c>
      <c r="O111" s="27" t="s">
        <v>247</v>
      </c>
      <c r="P111" s="30" t="s">
        <v>749</v>
      </c>
      <c r="Q111" s="30" t="s">
        <v>146</v>
      </c>
      <c r="R111" s="12" t="s">
        <v>144</v>
      </c>
      <c r="S111" t="s">
        <v>55</v>
      </c>
      <c r="T111" t="s">
        <v>56</v>
      </c>
      <c r="U111" t="s">
        <v>57</v>
      </c>
      <c r="V111" t="s">
        <v>58</v>
      </c>
      <c r="W111" t="s">
        <v>59</v>
      </c>
      <c r="Y111" s="1">
        <v>45524</v>
      </c>
      <c r="Z111">
        <v>630900</v>
      </c>
      <c r="AA111" s="34">
        <v>16</v>
      </c>
      <c r="AB111" s="39">
        <v>40</v>
      </c>
      <c r="AC111" s="7" t="s">
        <v>143</v>
      </c>
      <c r="AD111" s="12" t="str">
        <f t="shared" si="2"/>
        <v>C08</v>
      </c>
      <c r="AE111" s="9" t="str">
        <f t="shared" si="3"/>
        <v>NU</v>
      </c>
      <c r="AF111" s="29" t="s">
        <v>819</v>
      </c>
      <c r="AG111" s="29">
        <v>1</v>
      </c>
      <c r="AH111" t="s">
        <v>140</v>
      </c>
      <c r="AI111" s="7" t="s">
        <v>141</v>
      </c>
      <c r="AJ111" s="26">
        <v>46056</v>
      </c>
    </row>
    <row r="112" spans="1:36" ht="12.95" customHeight="1">
      <c r="A112" s="12" t="s">
        <v>185</v>
      </c>
      <c r="B112" s="12" t="s">
        <v>142</v>
      </c>
      <c r="C112">
        <v>110</v>
      </c>
      <c r="D112" t="s">
        <v>52</v>
      </c>
      <c r="E112" s="12" t="s">
        <v>367</v>
      </c>
      <c r="F112" s="12" t="s">
        <v>27</v>
      </c>
      <c r="G112" s="29" t="s">
        <v>207</v>
      </c>
      <c r="H112" s="27" t="s">
        <v>213</v>
      </c>
      <c r="I112" s="30" t="s">
        <v>223</v>
      </c>
      <c r="J112" s="16">
        <v>111111</v>
      </c>
      <c r="K112" t="s">
        <v>54</v>
      </c>
      <c r="N112" s="29" t="s">
        <v>244</v>
      </c>
      <c r="O112" s="27" t="s">
        <v>745</v>
      </c>
      <c r="P112" s="30" t="s">
        <v>749</v>
      </c>
      <c r="Q112" s="30" t="s">
        <v>146</v>
      </c>
      <c r="R112" s="12" t="s">
        <v>144</v>
      </c>
      <c r="S112" t="s">
        <v>55</v>
      </c>
      <c r="T112" t="s">
        <v>56</v>
      </c>
      <c r="U112" t="s">
        <v>57</v>
      </c>
      <c r="V112" t="s">
        <v>58</v>
      </c>
      <c r="W112" t="s">
        <v>59</v>
      </c>
      <c r="Y112" s="1">
        <v>45524</v>
      </c>
      <c r="Z112">
        <v>630900</v>
      </c>
      <c r="AA112" s="34">
        <v>5</v>
      </c>
      <c r="AB112" s="39">
        <v>40</v>
      </c>
      <c r="AC112" s="7" t="s">
        <v>143</v>
      </c>
      <c r="AD112" s="12" t="str">
        <f t="shared" si="2"/>
        <v>C08</v>
      </c>
      <c r="AE112" s="9" t="str">
        <f t="shared" si="3"/>
        <v>NU</v>
      </c>
      <c r="AF112" s="29" t="s">
        <v>820</v>
      </c>
      <c r="AG112" s="29">
        <v>1</v>
      </c>
      <c r="AH112" t="s">
        <v>140</v>
      </c>
      <c r="AI112" s="7" t="s">
        <v>141</v>
      </c>
      <c r="AJ112" s="26">
        <v>46056</v>
      </c>
    </row>
    <row r="113" spans="1:36" ht="12.95" customHeight="1">
      <c r="A113" s="12" t="s">
        <v>186</v>
      </c>
      <c r="B113" s="12" t="s">
        <v>142</v>
      </c>
      <c r="C113">
        <v>111</v>
      </c>
      <c r="D113" t="s">
        <v>52</v>
      </c>
      <c r="E113" s="12" t="s">
        <v>368</v>
      </c>
      <c r="F113" s="12" t="s">
        <v>27</v>
      </c>
      <c r="G113" s="29" t="s">
        <v>474</v>
      </c>
      <c r="H113" s="27" t="s">
        <v>581</v>
      </c>
      <c r="I113" s="30" t="s">
        <v>620</v>
      </c>
      <c r="J113" s="16">
        <v>111111</v>
      </c>
      <c r="K113" t="s">
        <v>54</v>
      </c>
      <c r="N113" s="29" t="s">
        <v>720</v>
      </c>
      <c r="O113" s="27" t="s">
        <v>247</v>
      </c>
      <c r="P113" s="30" t="s">
        <v>749</v>
      </c>
      <c r="Q113" s="30" t="s">
        <v>146</v>
      </c>
      <c r="R113" s="12" t="s">
        <v>144</v>
      </c>
      <c r="S113" t="s">
        <v>55</v>
      </c>
      <c r="T113" t="s">
        <v>56</v>
      </c>
      <c r="U113" t="s">
        <v>57</v>
      </c>
      <c r="V113" t="s">
        <v>58</v>
      </c>
      <c r="W113" t="s">
        <v>59</v>
      </c>
      <c r="Y113" s="1">
        <v>45524</v>
      </c>
      <c r="Z113">
        <v>630900</v>
      </c>
      <c r="AA113" s="34">
        <v>6</v>
      </c>
      <c r="AB113" s="39">
        <v>40</v>
      </c>
      <c r="AC113" s="7" t="s">
        <v>143</v>
      </c>
      <c r="AD113" s="12" t="str">
        <f t="shared" si="2"/>
        <v>C08</v>
      </c>
      <c r="AE113" s="9" t="str">
        <f t="shared" si="3"/>
        <v>NU</v>
      </c>
      <c r="AF113" s="29" t="s">
        <v>176</v>
      </c>
      <c r="AG113" s="29">
        <v>1</v>
      </c>
      <c r="AH113" t="s">
        <v>140</v>
      </c>
      <c r="AI113" s="7" t="s">
        <v>141</v>
      </c>
      <c r="AJ113" s="26">
        <v>46056</v>
      </c>
    </row>
    <row r="114" spans="1:36" ht="12.95" customHeight="1">
      <c r="A114" s="12" t="s">
        <v>187</v>
      </c>
      <c r="B114" s="12" t="s">
        <v>142</v>
      </c>
      <c r="C114">
        <v>112</v>
      </c>
      <c r="D114" t="s">
        <v>52</v>
      </c>
      <c r="E114" s="12" t="s">
        <v>369</v>
      </c>
      <c r="F114" s="12" t="s">
        <v>27</v>
      </c>
      <c r="G114" s="29" t="s">
        <v>475</v>
      </c>
      <c r="H114" s="27" t="s">
        <v>582</v>
      </c>
      <c r="I114" s="30" t="s">
        <v>220</v>
      </c>
      <c r="J114" s="16">
        <v>111111</v>
      </c>
      <c r="K114" t="s">
        <v>54</v>
      </c>
      <c r="N114" s="29" t="s">
        <v>721</v>
      </c>
      <c r="O114" s="27" t="s">
        <v>247</v>
      </c>
      <c r="P114" s="30" t="s">
        <v>749</v>
      </c>
      <c r="Q114" s="30" t="s">
        <v>146</v>
      </c>
      <c r="R114" s="12" t="s">
        <v>144</v>
      </c>
      <c r="S114" t="s">
        <v>55</v>
      </c>
      <c r="T114" t="s">
        <v>56</v>
      </c>
      <c r="U114" t="s">
        <v>57</v>
      </c>
      <c r="V114" t="s">
        <v>58</v>
      </c>
      <c r="W114" t="s">
        <v>59</v>
      </c>
      <c r="Y114" s="1">
        <v>45524</v>
      </c>
      <c r="Z114">
        <v>630900</v>
      </c>
      <c r="AA114" s="34">
        <v>11</v>
      </c>
      <c r="AB114" s="39">
        <v>40</v>
      </c>
      <c r="AC114" s="7" t="s">
        <v>143</v>
      </c>
      <c r="AD114" s="12" t="str">
        <f t="shared" si="2"/>
        <v>C08</v>
      </c>
      <c r="AE114" s="9" t="str">
        <f t="shared" si="3"/>
        <v>NU</v>
      </c>
      <c r="AF114" s="29" t="s">
        <v>821</v>
      </c>
      <c r="AG114" s="29">
        <v>2</v>
      </c>
      <c r="AH114" t="s">
        <v>140</v>
      </c>
      <c r="AI114" s="7" t="s">
        <v>141</v>
      </c>
      <c r="AJ114" s="26">
        <v>46056</v>
      </c>
    </row>
    <row r="115" spans="1:36" ht="12.95" customHeight="1">
      <c r="A115" s="12" t="s">
        <v>188</v>
      </c>
      <c r="B115" s="12" t="s">
        <v>142</v>
      </c>
      <c r="C115">
        <v>113</v>
      </c>
      <c r="D115" t="s">
        <v>52</v>
      </c>
      <c r="E115" s="12" t="s">
        <v>370</v>
      </c>
      <c r="F115" s="12" t="s">
        <v>27</v>
      </c>
      <c r="G115" s="29" t="s">
        <v>476</v>
      </c>
      <c r="H115" s="27" t="s">
        <v>583</v>
      </c>
      <c r="I115" s="30" t="s">
        <v>215</v>
      </c>
      <c r="J115" s="16">
        <v>111111</v>
      </c>
      <c r="K115" t="s">
        <v>54</v>
      </c>
      <c r="N115" s="29" t="s">
        <v>722</v>
      </c>
      <c r="O115" s="27" t="s">
        <v>247</v>
      </c>
      <c r="P115" s="30" t="s">
        <v>749</v>
      </c>
      <c r="Q115" s="30" t="s">
        <v>146</v>
      </c>
      <c r="R115" s="12" t="s">
        <v>144</v>
      </c>
      <c r="S115" t="s">
        <v>55</v>
      </c>
      <c r="T115" t="s">
        <v>56</v>
      </c>
      <c r="U115" t="s">
        <v>57</v>
      </c>
      <c r="V115" t="s">
        <v>58</v>
      </c>
      <c r="W115" t="s">
        <v>59</v>
      </c>
      <c r="Y115" s="1">
        <v>45524</v>
      </c>
      <c r="Z115">
        <v>630900</v>
      </c>
      <c r="AA115" s="34">
        <v>6</v>
      </c>
      <c r="AB115" s="39">
        <v>150</v>
      </c>
      <c r="AC115" s="7" t="s">
        <v>143</v>
      </c>
      <c r="AD115" s="12" t="str">
        <f t="shared" si="2"/>
        <v>C07</v>
      </c>
      <c r="AE115" s="9" t="str">
        <f t="shared" si="3"/>
        <v>DA</v>
      </c>
      <c r="AF115" s="29" t="s">
        <v>822</v>
      </c>
      <c r="AG115" s="29">
        <v>1</v>
      </c>
      <c r="AH115" t="s">
        <v>140</v>
      </c>
      <c r="AI115" s="7" t="s">
        <v>141</v>
      </c>
      <c r="AJ115" s="26">
        <v>46056</v>
      </c>
    </row>
    <row r="116" spans="1:36" ht="12.95" customHeight="1">
      <c r="A116" s="12" t="s">
        <v>189</v>
      </c>
      <c r="B116" s="12" t="s">
        <v>142</v>
      </c>
      <c r="C116">
        <v>114</v>
      </c>
      <c r="D116" t="s">
        <v>52</v>
      </c>
      <c r="E116" s="12" t="s">
        <v>371</v>
      </c>
      <c r="F116" s="12" t="s">
        <v>27</v>
      </c>
      <c r="G116" s="29" t="s">
        <v>477</v>
      </c>
      <c r="H116" s="27" t="s">
        <v>584</v>
      </c>
      <c r="I116" s="30" t="s">
        <v>215</v>
      </c>
      <c r="J116" s="16">
        <v>111111</v>
      </c>
      <c r="K116" t="s">
        <v>54</v>
      </c>
      <c r="N116" s="29" t="s">
        <v>723</v>
      </c>
      <c r="O116" s="27" t="s">
        <v>247</v>
      </c>
      <c r="P116" s="30" t="s">
        <v>749</v>
      </c>
      <c r="Q116" s="30" t="s">
        <v>146</v>
      </c>
      <c r="R116" s="12" t="s">
        <v>144</v>
      </c>
      <c r="S116" t="s">
        <v>55</v>
      </c>
      <c r="T116" t="s">
        <v>56</v>
      </c>
      <c r="U116" t="s">
        <v>57</v>
      </c>
      <c r="V116" t="s">
        <v>58</v>
      </c>
      <c r="W116" t="s">
        <v>59</v>
      </c>
      <c r="Y116" s="1">
        <v>45524</v>
      </c>
      <c r="Z116">
        <v>630900</v>
      </c>
      <c r="AA116" s="34">
        <v>26</v>
      </c>
      <c r="AB116" s="39">
        <v>150</v>
      </c>
      <c r="AC116" s="7" t="s">
        <v>143</v>
      </c>
      <c r="AD116" s="12" t="str">
        <f t="shared" si="2"/>
        <v>C07</v>
      </c>
      <c r="AE116" s="9" t="str">
        <f t="shared" si="3"/>
        <v>DA</v>
      </c>
      <c r="AF116" s="29" t="s">
        <v>823</v>
      </c>
      <c r="AG116" s="29">
        <v>1</v>
      </c>
      <c r="AH116" t="s">
        <v>140</v>
      </c>
      <c r="AI116" s="7" t="s">
        <v>141</v>
      </c>
      <c r="AJ116" s="26">
        <v>46056</v>
      </c>
    </row>
    <row r="117" spans="1:36" ht="12.95" customHeight="1">
      <c r="Q117" s="17"/>
      <c r="AA117" s="20"/>
      <c r="AC117" s="7"/>
      <c r="AE117" s="9"/>
      <c r="AI117" s="7"/>
    </row>
    <row r="118" spans="1:36" ht="12.95" customHeight="1">
      <c r="Q118" s="17"/>
      <c r="AA118" s="20"/>
      <c r="AC118" s="7"/>
      <c r="AE118" s="9"/>
      <c r="AI118" s="7"/>
    </row>
    <row r="119" spans="1:36" ht="12.95" customHeight="1">
      <c r="Q119" s="17"/>
      <c r="AA119" s="20"/>
      <c r="AC119" s="7"/>
      <c r="AE119" s="9"/>
      <c r="AI119" s="7"/>
    </row>
    <row r="120" spans="1:36" ht="12.95" customHeight="1">
      <c r="Q120" s="17"/>
      <c r="AA120" s="20"/>
      <c r="AC120" s="7"/>
      <c r="AE120" s="9"/>
      <c r="AI120" s="7"/>
    </row>
    <row r="121" spans="1:36" ht="12.95" customHeight="1">
      <c r="Q121" s="17"/>
      <c r="AA121" s="20"/>
      <c r="AC121" s="7"/>
      <c r="AE121" s="9"/>
      <c r="AI121" s="7"/>
    </row>
    <row r="122" spans="1:36" ht="12.95" customHeight="1">
      <c r="Q122" s="17"/>
      <c r="AA122" s="20"/>
      <c r="AC122" s="7"/>
      <c r="AE122" s="9"/>
      <c r="AI122" s="7"/>
    </row>
    <row r="123" spans="1:36" ht="12.95" customHeight="1">
      <c r="Q123" s="17"/>
      <c r="AA123" s="20"/>
      <c r="AC123" s="7"/>
      <c r="AE123" s="9"/>
      <c r="AI123" s="7"/>
    </row>
    <row r="124" spans="1:36" ht="12.95" customHeight="1">
      <c r="Q124" s="17"/>
      <c r="AA124" s="20"/>
      <c r="AC124" s="7"/>
      <c r="AE124" s="9"/>
      <c r="AI124" s="7"/>
    </row>
    <row r="125" spans="1:36" ht="12.95" customHeight="1">
      <c r="Q125" s="17"/>
      <c r="AA125" s="20"/>
      <c r="AC125" s="7"/>
      <c r="AE125" s="9"/>
      <c r="AI125" s="7"/>
    </row>
    <row r="126" spans="1:36" ht="12.95" customHeight="1">
      <c r="Q126" s="17"/>
      <c r="AA126" s="20"/>
      <c r="AC126" s="7"/>
      <c r="AE126" s="9"/>
      <c r="AI126" s="7"/>
    </row>
    <row r="127" spans="1:36" ht="12.95" customHeight="1">
      <c r="Q127" s="17"/>
      <c r="AA127" s="20"/>
      <c r="AC127" s="7"/>
      <c r="AE127" s="9"/>
      <c r="AI127" s="7"/>
    </row>
    <row r="128" spans="1:36" ht="12.95" customHeight="1">
      <c r="Q128" s="17"/>
      <c r="AA128" s="20"/>
      <c r="AC128" s="7"/>
      <c r="AE128" s="9"/>
      <c r="AI128" s="7"/>
    </row>
    <row r="129" spans="17:35" ht="12.95" customHeight="1">
      <c r="Q129" s="17"/>
      <c r="AA129" s="20"/>
      <c r="AC129" s="7"/>
      <c r="AE129" s="9"/>
      <c r="AI129" s="7"/>
    </row>
    <row r="130" spans="17:35" ht="12.95" customHeight="1">
      <c r="Q130" s="17"/>
      <c r="AA130" s="20"/>
      <c r="AC130" s="7"/>
      <c r="AE130" s="9"/>
      <c r="AI130" s="7"/>
    </row>
    <row r="131" spans="17:35" ht="12.95" customHeight="1">
      <c r="Q131" s="17"/>
      <c r="AA131" s="20"/>
      <c r="AC131" s="7"/>
      <c r="AE131" s="9"/>
      <c r="AI131" s="7"/>
    </row>
    <row r="132" spans="17:35" ht="12.95" customHeight="1">
      <c r="Q132" s="17"/>
      <c r="AA132" s="20"/>
      <c r="AC132" s="7"/>
      <c r="AE132" s="9"/>
      <c r="AI132" s="7"/>
    </row>
    <row r="133" spans="17:35" ht="12.95" customHeight="1">
      <c r="Q133" s="17"/>
      <c r="AA133" s="20"/>
      <c r="AC133" s="7"/>
      <c r="AE133" s="9"/>
      <c r="AI133" s="7"/>
    </row>
    <row r="134" spans="17:35" ht="12.95" customHeight="1">
      <c r="Q134" s="17"/>
      <c r="AA134" s="20"/>
      <c r="AC134" s="7"/>
      <c r="AE134" s="9"/>
      <c r="AI134" s="7"/>
    </row>
    <row r="135" spans="17:35" ht="12.95" customHeight="1">
      <c r="Q135" s="17"/>
      <c r="AA135" s="20"/>
      <c r="AC135" s="7"/>
      <c r="AE135" s="9"/>
      <c r="AI135" s="7"/>
    </row>
    <row r="136" spans="17:35" ht="12.95" customHeight="1">
      <c r="Q136" s="17"/>
      <c r="AA136" s="20"/>
      <c r="AC136" s="7"/>
      <c r="AE136" s="9"/>
      <c r="AI136" s="7"/>
    </row>
    <row r="137" spans="17:35" ht="12.95" customHeight="1">
      <c r="Q137" s="17"/>
      <c r="AA137" s="20"/>
      <c r="AC137" s="7"/>
      <c r="AE137" s="9"/>
      <c r="AI137" s="7"/>
    </row>
    <row r="138" spans="17:35" ht="12.95" customHeight="1">
      <c r="Q138" s="17"/>
      <c r="AA138" s="20"/>
      <c r="AC138" s="7"/>
      <c r="AE138" s="9"/>
      <c r="AI138" s="7"/>
    </row>
    <row r="139" spans="17:35" ht="12.95" customHeight="1">
      <c r="Q139" s="17"/>
      <c r="AA139" s="20"/>
      <c r="AC139" s="7"/>
      <c r="AE139" s="9"/>
      <c r="AI139" s="7"/>
    </row>
    <row r="140" spans="17:35" ht="12.95" customHeight="1">
      <c r="Q140" s="17"/>
      <c r="AA140" s="20"/>
      <c r="AC140" s="7"/>
      <c r="AE140" s="9"/>
      <c r="AI140" s="7"/>
    </row>
    <row r="141" spans="17:35" ht="12.95" customHeight="1">
      <c r="Q141" s="17"/>
      <c r="AA141" s="20"/>
      <c r="AC141" s="7"/>
      <c r="AE141" s="9"/>
      <c r="AI141" s="7"/>
    </row>
    <row r="142" spans="17:35" ht="12.95" customHeight="1">
      <c r="Q142" s="17"/>
      <c r="AA142" s="20"/>
      <c r="AC142" s="7"/>
      <c r="AE142" s="9"/>
      <c r="AI142" s="7"/>
    </row>
    <row r="143" spans="17:35" ht="12.95" customHeight="1">
      <c r="Q143" s="17"/>
      <c r="AA143" s="20"/>
      <c r="AC143" s="7"/>
      <c r="AE143" s="9"/>
      <c r="AI143" s="7"/>
    </row>
    <row r="144" spans="17:35" ht="12.95" customHeight="1">
      <c r="Q144" s="17"/>
      <c r="AA144" s="20"/>
      <c r="AC144" s="7"/>
      <c r="AE144" s="9"/>
      <c r="AI144" s="7"/>
    </row>
    <row r="145" spans="17:35" ht="12.95" customHeight="1">
      <c r="Q145" s="17"/>
      <c r="AA145" s="20"/>
      <c r="AC145" s="7"/>
      <c r="AE145" s="9"/>
      <c r="AI145" s="7"/>
    </row>
    <row r="146" spans="17:35" ht="12.95" customHeight="1">
      <c r="Q146" s="17"/>
      <c r="AA146" s="20"/>
      <c r="AC146" s="7"/>
      <c r="AE146" s="9"/>
      <c r="AI146" s="7"/>
    </row>
    <row r="147" spans="17:35" ht="12.95" customHeight="1">
      <c r="Q147" s="17"/>
      <c r="AA147" s="20"/>
      <c r="AC147" s="7"/>
      <c r="AE147" s="9"/>
      <c r="AI147" s="7"/>
    </row>
    <row r="148" spans="17:35" ht="12.95" customHeight="1">
      <c r="Q148" s="17"/>
      <c r="AA148" s="20"/>
      <c r="AC148" s="7"/>
      <c r="AE148" s="9"/>
      <c r="AI148" s="7"/>
    </row>
    <row r="149" spans="17:35" ht="12.95" customHeight="1">
      <c r="Q149" s="17"/>
      <c r="AA149" s="20"/>
      <c r="AC149" s="7"/>
      <c r="AE149" s="9"/>
      <c r="AI149" s="7"/>
    </row>
    <row r="150" spans="17:35" ht="12.95" customHeight="1">
      <c r="Q150" s="17"/>
      <c r="AA150" s="20"/>
      <c r="AC150" s="7"/>
      <c r="AE150" s="9"/>
      <c r="AI150" s="7"/>
    </row>
    <row r="151" spans="17:35" ht="12.95" customHeight="1">
      <c r="Q151" s="17"/>
      <c r="AA151" s="20"/>
      <c r="AC151" s="7"/>
      <c r="AE151" s="9"/>
      <c r="AI151" s="7"/>
    </row>
    <row r="152" spans="17:35" ht="12.95" customHeight="1">
      <c r="Q152" s="17"/>
      <c r="AA152" s="20"/>
      <c r="AC152" s="7"/>
      <c r="AE152" s="9"/>
      <c r="AI152" s="7"/>
    </row>
    <row r="153" spans="17:35" ht="12.95" customHeight="1">
      <c r="Q153" s="17"/>
      <c r="AA153" s="20"/>
      <c r="AC153" s="7"/>
      <c r="AE153" s="9"/>
      <c r="AI153" s="7"/>
    </row>
    <row r="154" spans="17:35" ht="12.95" customHeight="1">
      <c r="Q154" s="17"/>
      <c r="AA154" s="20"/>
      <c r="AC154" s="7"/>
      <c r="AE154" s="9"/>
      <c r="AI154" s="7"/>
    </row>
    <row r="155" spans="17:35" ht="12.95" customHeight="1">
      <c r="Q155" s="17"/>
      <c r="AA155" s="20"/>
      <c r="AC155" s="7"/>
      <c r="AE155" s="9"/>
      <c r="AI155" s="7"/>
    </row>
    <row r="156" spans="17:35" ht="12.95" customHeight="1">
      <c r="Q156" s="17"/>
      <c r="AA156" s="20"/>
      <c r="AC156" s="7"/>
      <c r="AE156" s="9"/>
      <c r="AI156" s="7"/>
    </row>
    <row r="157" spans="17:35" ht="12.95" customHeight="1">
      <c r="Q157" s="17"/>
      <c r="AA157" s="20"/>
      <c r="AC157" s="7"/>
      <c r="AE157" s="9"/>
      <c r="AI157" s="7"/>
    </row>
    <row r="158" spans="17:35" ht="12.95" customHeight="1">
      <c r="Q158" s="17"/>
      <c r="AA158" s="20"/>
      <c r="AC158" s="7"/>
      <c r="AE158" s="9"/>
      <c r="AI158" s="7"/>
    </row>
    <row r="159" spans="17:35" ht="12.95" customHeight="1">
      <c r="Q159" s="17"/>
      <c r="AA159" s="20"/>
      <c r="AC159" s="7"/>
      <c r="AE159" s="9"/>
      <c r="AI159" s="7"/>
    </row>
    <row r="160" spans="17:35" ht="12.95" customHeight="1">
      <c r="Q160" s="17"/>
      <c r="AA160" s="20"/>
      <c r="AC160" s="7"/>
      <c r="AE160" s="9"/>
      <c r="AI160" s="7"/>
    </row>
    <row r="161" spans="17:35" ht="12.95" customHeight="1">
      <c r="Q161" s="17"/>
      <c r="AA161" s="20"/>
      <c r="AC161" s="7"/>
      <c r="AE161" s="9"/>
      <c r="AI161" s="7"/>
    </row>
    <row r="162" spans="17:35" ht="12.95" customHeight="1">
      <c r="Q162" s="17"/>
      <c r="AA162" s="20"/>
      <c r="AC162" s="7"/>
      <c r="AE162" s="9"/>
      <c r="AI162" s="7"/>
    </row>
    <row r="163" spans="17:35" ht="12.95" customHeight="1">
      <c r="Q163" s="17"/>
      <c r="AA163" s="20"/>
      <c r="AC163" s="7"/>
      <c r="AE163" s="9"/>
      <c r="AI163" s="7"/>
    </row>
    <row r="164" spans="17:35" ht="12.95" customHeight="1">
      <c r="Q164" s="17"/>
      <c r="AA164" s="20"/>
      <c r="AC164" s="7"/>
      <c r="AE164" s="9"/>
      <c r="AI164" s="7"/>
    </row>
    <row r="165" spans="17:35" ht="12.95" customHeight="1">
      <c r="Q165" s="17"/>
      <c r="AA165" s="20"/>
      <c r="AC165" s="7"/>
      <c r="AE165" s="9"/>
      <c r="AI165" s="7"/>
    </row>
    <row r="166" spans="17:35" ht="12.95" customHeight="1">
      <c r="Q166" s="17"/>
      <c r="AA166" s="20"/>
      <c r="AC166" s="7"/>
      <c r="AE166" s="9"/>
      <c r="AI166" s="7"/>
    </row>
    <row r="167" spans="17:35" ht="12.95" customHeight="1">
      <c r="Q167" s="17"/>
      <c r="AA167" s="20"/>
      <c r="AC167" s="7"/>
      <c r="AE167" s="9"/>
      <c r="AI167" s="7"/>
    </row>
    <row r="168" spans="17:35" ht="12.95" customHeight="1">
      <c r="Q168" s="17"/>
      <c r="AA168" s="20"/>
      <c r="AC168" s="7"/>
      <c r="AE168" s="9"/>
      <c r="AI168" s="7"/>
    </row>
    <row r="169" spans="17:35" ht="12.95" customHeight="1">
      <c r="Q169" s="17"/>
      <c r="AA169" s="20"/>
      <c r="AC169" s="7"/>
      <c r="AE169" s="9"/>
      <c r="AI169" s="7"/>
    </row>
    <row r="170" spans="17:35" ht="12.95" customHeight="1">
      <c r="Q170" s="17"/>
      <c r="AA170" s="20"/>
      <c r="AC170" s="7"/>
      <c r="AE170" s="9"/>
      <c r="AI170" s="7"/>
    </row>
    <row r="171" spans="17:35" ht="12.95" customHeight="1">
      <c r="Q171" s="17"/>
      <c r="AA171" s="20"/>
      <c r="AC171" s="7"/>
      <c r="AE171" s="9"/>
      <c r="AI171" s="7"/>
    </row>
    <row r="172" spans="17:35" ht="12.95" customHeight="1">
      <c r="Q172" s="17"/>
      <c r="AA172" s="20"/>
      <c r="AC172" s="7"/>
      <c r="AE172" s="9"/>
      <c r="AI172" s="7"/>
    </row>
    <row r="173" spans="17:35" ht="12.95" customHeight="1">
      <c r="Q173" s="17"/>
      <c r="AA173" s="20"/>
      <c r="AC173" s="7"/>
      <c r="AE173" s="9"/>
      <c r="AI173" s="7"/>
    </row>
    <row r="174" spans="17:35" ht="12.95" customHeight="1">
      <c r="Q174" s="17"/>
      <c r="AA174" s="20"/>
      <c r="AC174" s="7"/>
      <c r="AE174" s="9"/>
      <c r="AI174" s="7"/>
    </row>
    <row r="175" spans="17:35" ht="12.95" customHeight="1">
      <c r="Q175" s="17"/>
      <c r="AA175" s="20"/>
      <c r="AC175" s="7"/>
      <c r="AE175" s="9"/>
      <c r="AI175" s="7"/>
    </row>
    <row r="176" spans="17:35" ht="12.95" customHeight="1">
      <c r="Q176" s="17"/>
      <c r="AA176" s="20"/>
      <c r="AC176" s="7"/>
      <c r="AE176" s="9"/>
      <c r="AI176" s="7"/>
    </row>
    <row r="177" spans="17:35" ht="12.95" customHeight="1">
      <c r="Q177" s="17"/>
      <c r="AA177" s="20"/>
      <c r="AC177" s="7"/>
      <c r="AE177" s="9"/>
      <c r="AI177" s="7"/>
    </row>
    <row r="178" spans="17:35" ht="12.95" customHeight="1">
      <c r="Q178" s="17"/>
      <c r="AA178" s="20"/>
      <c r="AC178" s="7"/>
      <c r="AE178" s="9"/>
      <c r="AI178" s="7"/>
    </row>
    <row r="179" spans="17:35" ht="12.95" customHeight="1">
      <c r="Q179" s="17"/>
      <c r="AA179" s="20"/>
      <c r="AC179" s="7"/>
      <c r="AE179" s="9"/>
      <c r="AI179" s="7"/>
    </row>
    <row r="180" spans="17:35" ht="12.95" customHeight="1">
      <c r="Q180" s="17"/>
      <c r="AA180" s="20"/>
      <c r="AC180" s="7"/>
      <c r="AE180" s="9"/>
      <c r="AI180" s="7"/>
    </row>
    <row r="181" spans="17:35" ht="12.95" customHeight="1">
      <c r="AA181" s="20"/>
      <c r="AC181" s="7"/>
      <c r="AE181" s="9"/>
      <c r="AI181" s="7"/>
    </row>
    <row r="182" spans="17:35" ht="12.95" customHeight="1">
      <c r="AA182" s="20"/>
      <c r="AC182" s="7"/>
      <c r="AE182" s="9"/>
      <c r="AI182" s="7"/>
    </row>
    <row r="183" spans="17:35" ht="12.95" customHeight="1">
      <c r="AA183" s="20"/>
      <c r="AC183" s="7"/>
      <c r="AE183" s="9"/>
      <c r="AI183" s="7"/>
    </row>
    <row r="184" spans="17:35" ht="12.95" customHeight="1">
      <c r="AA184" s="20"/>
      <c r="AC184" s="7"/>
      <c r="AE184" s="9"/>
      <c r="AI184" s="7"/>
    </row>
    <row r="185" spans="17:35" ht="12.95" customHeight="1">
      <c r="AA185" s="20"/>
      <c r="AC185" s="7"/>
      <c r="AE185" s="9"/>
      <c r="AI185" s="7"/>
    </row>
    <row r="186" spans="17:35" ht="12.95" customHeight="1">
      <c r="AG186" s="12"/>
    </row>
    <row r="187" spans="17:35" ht="12.95" customHeight="1">
      <c r="AG187" s="12"/>
    </row>
  </sheetData>
  <sheetProtection selectLockedCells="1" selectUnlockedCells="1"/>
  <phoneticPr fontId="10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38461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92</vt:i4>
      </vt:variant>
    </vt:vector>
  </HeadingPairs>
  <TitlesOfParts>
    <vt:vector size="93" baseType="lpstr">
      <vt:lpstr>H7</vt:lpstr>
      <vt:lpstr>__Anonymous_Sheet_DB__1_1</vt:lpstr>
      <vt:lpstr>__Anonymous_Sheet_DB__1_10</vt:lpstr>
      <vt:lpstr>__Anonymous_Sheet_DB__1_100</vt:lpstr>
      <vt:lpstr>__Anonymous_Sheet_DB__1_101</vt:lpstr>
      <vt:lpstr>__Anonymous_Sheet_DB__1_102</vt:lpstr>
      <vt:lpstr>__Anonymous_Sheet_DB__1_103</vt:lpstr>
      <vt:lpstr>__Anonymous_Sheet_DB__1_105</vt:lpstr>
      <vt:lpstr>__Anonymous_Sheet_DB__1_106</vt:lpstr>
      <vt:lpstr>__Anonymous_Sheet_DB__1_107</vt:lpstr>
      <vt:lpstr>__Anonymous_Sheet_DB__1_109</vt:lpstr>
      <vt:lpstr>__Anonymous_Sheet_DB__1_11</vt:lpstr>
      <vt:lpstr>__Anonymous_Sheet_DB__1_110</vt:lpstr>
      <vt:lpstr>__Anonymous_Sheet_DB__1_111</vt:lpstr>
      <vt:lpstr>__Anonymous_Sheet_DB__1_113</vt:lpstr>
      <vt:lpstr>__Anonymous_Sheet_DB__1_114</vt:lpstr>
      <vt:lpstr>__Anonymous_Sheet_DB__1_116</vt:lpstr>
      <vt:lpstr>__Anonymous_Sheet_DB__1_118</vt:lpstr>
      <vt:lpstr>__Anonymous_Sheet_DB__1_14</vt:lpstr>
      <vt:lpstr>__Anonymous_Sheet_DB__1_16</vt:lpstr>
      <vt:lpstr>__Anonymous_Sheet_DB__1_17</vt:lpstr>
      <vt:lpstr>__Anonymous_Sheet_DB__1_18</vt:lpstr>
      <vt:lpstr>__Anonymous_Sheet_DB__1_2</vt:lpstr>
      <vt:lpstr>__Anonymous_Sheet_DB__1_23</vt:lpstr>
      <vt:lpstr>__Anonymous_Sheet_DB__1_24</vt:lpstr>
      <vt:lpstr>__Anonymous_Sheet_DB__1_25</vt:lpstr>
      <vt:lpstr>__Anonymous_Sheet_DB__1_28</vt:lpstr>
      <vt:lpstr>__Anonymous_Sheet_DB__1_29</vt:lpstr>
      <vt:lpstr>__Anonymous_Sheet_DB__1_3</vt:lpstr>
      <vt:lpstr>__Anonymous_Sheet_DB__1_30</vt:lpstr>
      <vt:lpstr>__Anonymous_Sheet_DB__1_32</vt:lpstr>
      <vt:lpstr>__Anonymous_Sheet_DB__1_33</vt:lpstr>
      <vt:lpstr>__Anonymous_Sheet_DB__1_38</vt:lpstr>
      <vt:lpstr>__Anonymous_Sheet_DB__1_39</vt:lpstr>
      <vt:lpstr>__Anonymous_Sheet_DB__1_4</vt:lpstr>
      <vt:lpstr>__Anonymous_Sheet_DB__1_40</vt:lpstr>
      <vt:lpstr>__Anonymous_Sheet_DB__1_42</vt:lpstr>
      <vt:lpstr>__Anonymous_Sheet_DB__1_43</vt:lpstr>
      <vt:lpstr>__Anonymous_Sheet_DB__1_44</vt:lpstr>
      <vt:lpstr>__Anonymous_Sheet_DB__1_45</vt:lpstr>
      <vt:lpstr>__Anonymous_Sheet_DB__1_46</vt:lpstr>
      <vt:lpstr>__Anonymous_Sheet_DB__1_47</vt:lpstr>
      <vt:lpstr>__Anonymous_Sheet_DB__1_48</vt:lpstr>
      <vt:lpstr>__Anonymous_Sheet_DB__1_49</vt:lpstr>
      <vt:lpstr>__Anonymous_Sheet_DB__1_50</vt:lpstr>
      <vt:lpstr>__Anonymous_Sheet_DB__1_52</vt:lpstr>
      <vt:lpstr>__Anonymous_Sheet_DB__1_53</vt:lpstr>
      <vt:lpstr>__Anonymous_Sheet_DB__1_54</vt:lpstr>
      <vt:lpstr>__Anonymous_Sheet_DB__1_56</vt:lpstr>
      <vt:lpstr>__Anonymous_Sheet_DB__1_58</vt:lpstr>
      <vt:lpstr>__Anonymous_Sheet_DB__1_59</vt:lpstr>
      <vt:lpstr>__Anonymous_Sheet_DB__1_60</vt:lpstr>
      <vt:lpstr>__Anonymous_Sheet_DB__1_62</vt:lpstr>
      <vt:lpstr>__Anonymous_Sheet_DB__1_63</vt:lpstr>
      <vt:lpstr>__Anonymous_Sheet_DB__1_64</vt:lpstr>
      <vt:lpstr>__Anonymous_Sheet_DB__1_67</vt:lpstr>
      <vt:lpstr>__Anonymous_Sheet_DB__1_68</vt:lpstr>
      <vt:lpstr>__Anonymous_Sheet_DB__1_69</vt:lpstr>
      <vt:lpstr>__Anonymous_Sheet_DB__1_7</vt:lpstr>
      <vt:lpstr>__Anonymous_Sheet_DB__1_70</vt:lpstr>
      <vt:lpstr>__Anonymous_Sheet_DB__1_71</vt:lpstr>
      <vt:lpstr>__Anonymous_Sheet_DB__1_73</vt:lpstr>
      <vt:lpstr>__Anonymous_Sheet_DB__1_74</vt:lpstr>
      <vt:lpstr>__Anonymous_Sheet_DB__1_75</vt:lpstr>
      <vt:lpstr>__Anonymous_Sheet_DB__1_76</vt:lpstr>
      <vt:lpstr>__Anonymous_Sheet_DB__1_78</vt:lpstr>
      <vt:lpstr>__Anonymous_Sheet_DB__1_79</vt:lpstr>
      <vt:lpstr>__Anonymous_Sheet_DB__1_81</vt:lpstr>
      <vt:lpstr>__Anonymous_Sheet_DB__1_82</vt:lpstr>
      <vt:lpstr>__Anonymous_Sheet_DB__1_86</vt:lpstr>
      <vt:lpstr>__Anonymous_Sheet_DB__1_87</vt:lpstr>
      <vt:lpstr>__Anonymous_Sheet_DB__1_88</vt:lpstr>
      <vt:lpstr>__Anonymous_Sheet_DB__1_9</vt:lpstr>
      <vt:lpstr>__Anonymous_Sheet_DB__1_90</vt:lpstr>
      <vt:lpstr>__Anonymous_Sheet_DB__1_91</vt:lpstr>
      <vt:lpstr>__Anonymous_Sheet_DB__1_93</vt:lpstr>
      <vt:lpstr>__Anonymous_Sheet_DB__1_95</vt:lpstr>
      <vt:lpstr>__Anonymous_Sheet_DB__1_97</vt:lpstr>
      <vt:lpstr>__Anonymous_Sheet_DB__1_98</vt:lpstr>
      <vt:lpstr>__Anonymous_Sheet_DB__2</vt:lpstr>
      <vt:lpstr>__Anonymous_Sheet_DB__2_10</vt:lpstr>
      <vt:lpstr>__Anonymous_Sheet_DB__2_19</vt:lpstr>
      <vt:lpstr>__Anonymous_Sheet_DB__2_22</vt:lpstr>
      <vt:lpstr>__Anonymous_Sheet_DB__2_23</vt:lpstr>
      <vt:lpstr>__Anonymous_Sheet_DB__2_24</vt:lpstr>
      <vt:lpstr>__Anonymous_Sheet_DB__2_26</vt:lpstr>
      <vt:lpstr>__Anonymous_Sheet_DB__2_8</vt:lpstr>
      <vt:lpstr>'H7'!Excel_BuiltIn__FilterDatabase</vt:lpstr>
      <vt:lpstr>Excel_BuiltIn__FilterDatabase_1</vt:lpstr>
      <vt:lpstr>Excel_BuiltIn__FilterDatabase_2</vt:lpstr>
      <vt:lpstr>Excel_BuiltIn__FilterDatabase_3</vt:lpstr>
      <vt:lpstr>Excel_BuiltIn__FilterDatabase_4</vt:lpstr>
      <vt:lpstr>Excel_BuiltIn__FilterDatabase_5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44744</dc:creator>
  <cp:lastModifiedBy>Cristian Stroescu</cp:lastModifiedBy>
  <cp:revision>697</cp:revision>
  <cp:lastPrinted>2021-10-27T01:35:12Z</cp:lastPrinted>
  <dcterms:created xsi:type="dcterms:W3CDTF">2022-05-11T05:16:40Z</dcterms:created>
  <dcterms:modified xsi:type="dcterms:W3CDTF">2026-02-01T19:55:46Z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B9E0073CA7014BBCB57F19FA071A00FF</vt:lpwstr>
  </property>
  <property fmtid="{D5CDD505-2E9C-101B-9397-08002B2CF9AE}" pid="3" name="KSOProductBuildVer">
    <vt:lpwstr>1033-11.2.0.11130</vt:lpwstr>
  </property>
</Properties>
</file>